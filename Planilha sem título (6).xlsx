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OUT" sheetId="1" r:id="rId4"/>
    <sheet state="visible" name="LOGIN" sheetId="2" r:id="rId5"/>
    <sheet state="visible" name="CADASTRO" sheetId="3" r:id="rId6"/>
    <sheet state="visible" name="IDADE" sheetId="4" r:id="rId7"/>
    <sheet state="visible" name="API LOGIN MANUAL" sheetId="5" r:id="rId8"/>
    <sheet state="visible" name="API CADASTRO MANUAL" sheetId="6" r:id="rId9"/>
    <sheet state="visible" name="TABELA DE DECISÃO CHECKOUT" sheetId="7" r:id="rId10"/>
    <sheet state="visible" name="PARTIÇÃO DE EQUIVALÊNCIA" sheetId="8" r:id="rId11"/>
    <sheet state="visible" name="BUGS FICTICIO" sheetId="9" r:id="rId12"/>
    <sheet state="visible" name="VALOR LIMITE" sheetId="10" r:id="rId13"/>
    <sheet state="visible" name="Tabela completa" sheetId="11" r:id="rId14"/>
  </sheets>
  <definedNames>
    <definedName hidden="1" localSheetId="0" name="Z_47216A14_A8C4_4A81_83A1_149BB40B447E_.wvu.FilterData">CHECKOUT!$A$4:$K$13</definedName>
    <definedName hidden="1" localSheetId="1" name="Z_47216A14_A8C4_4A81_83A1_149BB40B447E_.wvu.FilterData">LOGIN!$A$4:$K$11</definedName>
    <definedName hidden="1" localSheetId="2" name="Z_47216A14_A8C4_4A81_83A1_149BB40B447E_.wvu.FilterData">CADASTRO!$A$4:$K$15</definedName>
    <definedName hidden="1" localSheetId="3" name="Z_47216A14_A8C4_4A81_83A1_149BB40B447E_.wvu.FilterData">IDADE!$A$5:$K$9</definedName>
    <definedName hidden="1" localSheetId="10" name="Z_47216A14_A8C4_4A81_83A1_149BB40B447E_.wvu.FilterData">'Tabela completa'!$A$1:$N$19</definedName>
  </definedNames>
  <calcPr/>
  <customWorkbookViews>
    <customWorkbookView activeSheetId="0" maximized="1" windowHeight="0" windowWidth="0" guid="{47216A14-A8C4-4A81-83A1-149BB40B447E}" name="Agrupar por ID/ CASOS DE TESTE"/>
  </customWorkbookViews>
</workbook>
</file>

<file path=xl/sharedStrings.xml><?xml version="1.0" encoding="utf-8"?>
<sst xmlns="http://schemas.openxmlformats.org/spreadsheetml/2006/main" count="512" uniqueCount="257">
  <si>
    <r>
      <rPr>
        <b/>
        <i/>
        <color rgb="FFFFFFFF"/>
      </rPr>
      <t>Exemplo de teste de Checkout de Usuário com dados e ambiente fictício.
URL de testes (fictícia):</t>
    </r>
    <r>
      <rPr>
        <b/>
        <i/>
        <color rgb="FFF50AB0"/>
      </rPr>
      <t xml:space="preserve"> </t>
    </r>
    <r>
      <rPr>
        <b/>
        <i/>
        <color rgb="FF000000"/>
        <u/>
      </rPr>
      <t>https://automationpratice.com.br/checkout-one</t>
    </r>
  </si>
  <si>
    <t>ID</t>
  </si>
  <si>
    <t>Casos de Testes</t>
  </si>
  <si>
    <t>Objetivo</t>
  </si>
  <si>
    <t>Pré-Condição</t>
  </si>
  <si>
    <t>Cenários de Testes (BDD &amp; Gherkin)</t>
  </si>
  <si>
    <t>Resultado Esperado</t>
  </si>
  <si>
    <t>Resultado Obtido</t>
  </si>
  <si>
    <t xml:space="preserve">Severidade/ Prioridade do teste </t>
  </si>
  <si>
    <t xml:space="preserve">Status </t>
  </si>
  <si>
    <t xml:space="preserve"> Evidências </t>
  </si>
  <si>
    <t>Observações</t>
  </si>
  <si>
    <t>001</t>
  </si>
  <si>
    <t>Checkout bem sucedido</t>
  </si>
  <si>
    <t xml:space="preserve"> Verificar se o sistema permite finalizar a compra com todos os dados corretos.</t>
  </si>
  <si>
    <t>Estar na Página de Checkout</t>
  </si>
  <si>
    <t xml:space="preserve">Dado que o cliente adicionou produtos ao carrinho
E preencheu todos os campos obrigatórios corretamente
Quando ele seleciona um pagamento válido
E clica em finalizar compra
 </t>
  </si>
  <si>
    <t xml:space="preserve">Então o pedido é registrado com sucesso
</t>
  </si>
  <si>
    <t>OK</t>
  </si>
  <si>
    <t>Alta</t>
  </si>
  <si>
    <t>Aprovada</t>
  </si>
  <si>
    <t>002</t>
  </si>
  <si>
    <t>Checkout com carrinho vazio</t>
  </si>
  <si>
    <t>Verificar si o sistema não permite checkout sem produtos no carrinho.</t>
  </si>
  <si>
    <t>Dado que o cliente não adicionou nenhum produto ao carrinho
Quando ele tenta acessar a página de checkout</t>
  </si>
  <si>
    <t>Então o botão checkout não é habilitado</t>
  </si>
  <si>
    <t>Média</t>
  </si>
  <si>
    <t>003</t>
  </si>
  <si>
    <t>Checkout com campos obrigatórios vazios</t>
  </si>
  <si>
    <t>Verificar si o sistema exige todos os campos obrigatórios sejam preenchidos.</t>
  </si>
  <si>
    <t>Dado que o cliente adicionou produtos ao carrinho
E deixou algum campo obrigatório vazio
Quando ele clica em finalizar compra</t>
  </si>
  <si>
    <t>Então o sistema exibe a mensagem, Campos obrigatórios faltando</t>
  </si>
  <si>
    <t>O sistema permitiu a concluísão do checkout, mesmo com campos obrigatórios em branco</t>
  </si>
  <si>
    <t>Reprovada</t>
  </si>
  <si>
    <t>004</t>
  </si>
  <si>
    <t>Checkout com CEP inválido</t>
  </si>
  <si>
    <t>Verificar si o sistema rejeita CEPs inválidos durante o checkout.</t>
  </si>
  <si>
    <t>Dado que o cliente adicionou produtos ao carrinho
E inseriu um CEP inválido
Quando ele clica em finalizar compra</t>
  </si>
  <si>
    <t>Então o sistema exibe a mensagem, CEP inválido</t>
  </si>
  <si>
    <t>O sistema permitiu a conclusão do checkout, mesmo com campo CEP inválido</t>
  </si>
  <si>
    <t>005</t>
  </si>
  <si>
    <t>Checkout com pagamento inválido</t>
  </si>
  <si>
    <t>Validar si o sistema rejeita pagamentos inválidos.</t>
  </si>
  <si>
    <t>Dado que o cliente adicionou produtos ao carrinho
E adicionou um pagamento inválido
Quando ele clica em finalizar compra</t>
  </si>
  <si>
    <t>Então o sistema exibe a mensagem, pagamento inválido</t>
  </si>
  <si>
    <t>006</t>
  </si>
  <si>
    <t>Checkout com estoque insuficiente</t>
  </si>
  <si>
    <t>Verificar se o sistema impede a finalização da compra,si algum produto estiver com estoque insuficiente.</t>
  </si>
  <si>
    <t>Dado que o cliente adicionou produtos ao carrinho
E algum produto está com estoque insuficiente
Quando ele clica em finalizar compra</t>
  </si>
  <si>
    <t xml:space="preserve">Então o sistema exibe a mensagem, poduto(s) sem estoque suficiente
</t>
  </si>
  <si>
    <r>
      <rPr>
        <b/>
        <i/>
        <color rgb="FFFFFFFF"/>
      </rPr>
      <t xml:space="preserve">Exemplo de teste de Login de Usuário com dados e ambiente fictício.
URL de testes (fictícia): </t>
    </r>
    <r>
      <rPr>
        <b/>
        <i/>
        <color rgb="FF000000"/>
        <u/>
      </rPr>
      <t>https://automationpratice.com.br/login</t>
    </r>
  </si>
  <si>
    <t>Cenário de Testes (BDD &amp; Gherkin)</t>
  </si>
  <si>
    <t>TC-001</t>
  </si>
  <si>
    <t>Login com credenciais válidas</t>
  </si>
  <si>
    <t>Verificar se o sistema permite o login com e-mail e senha corretos.</t>
  </si>
  <si>
    <t xml:space="preserve">Ter um cadastro válido, e estar na página de login </t>
  </si>
  <si>
    <t xml:space="preserve">Dado que o usuário esteja na página de login  
Quando informar e-mail e senha válidos  
E clicar em login  
</t>
  </si>
  <si>
    <t>Então o usuario deve ser direcionado para a página inicial do sistema.</t>
  </si>
  <si>
    <t>TC-002</t>
  </si>
  <si>
    <t>Login com senha inválidos</t>
  </si>
  <si>
    <t>Garantir que o sistema exiba mensagem de erro ao inserir senha incorreta.</t>
  </si>
  <si>
    <t xml:space="preserve">Estar na Página de Login </t>
  </si>
  <si>
    <t xml:space="preserve">Dado que o usuário esteja na página de login,  
Quando informar um e-mail válido  
E uma senha inválida
E clicar em login
</t>
  </si>
  <si>
    <t>Então deve exibir a mensagem, senha inválida.</t>
  </si>
  <si>
    <t>TC-003</t>
  </si>
  <si>
    <t>Login com e-mail e senha inválidos</t>
  </si>
  <si>
    <t xml:space="preserve">Verificar se o sistema impede o acesso quando ambos os dados estão incorretos.
</t>
  </si>
  <si>
    <t xml:space="preserve">Dado que o usuário esteja na página de login,
Quando o usuário digitar um e-mail inválido
E uma senha inválida, E clicar em login
    </t>
  </si>
  <si>
    <t>Então o sistema deve exibir a mensagem, e-mail e/ou senha inválidos.</t>
  </si>
  <si>
    <t>Exibiu mensagem só de e-mail invalido.</t>
  </si>
  <si>
    <t>Captura de tela_8-11-2025_151133_automationpratice.com.br.jpeg</t>
  </si>
  <si>
    <t>Sistema validou apenas o e-mail inválido, mas não exibiu mensagem para a senha inválida. Verificar se o comportamento está conforme o requisito.</t>
  </si>
  <si>
    <t>TC-004</t>
  </si>
  <si>
    <t>Login com e-mail inválido</t>
  </si>
  <si>
    <t>Confirmar que o sistema identifique e rejeite e-mails em formato inválido</t>
  </si>
  <si>
    <t xml:space="preserve">Dado que o usuário esteja na página de login,
Quando o usuário digitar um e-mail inválido
E clicar em login  </t>
  </si>
  <si>
    <t>Então deve exibir a mensagem, e-mail inválido.</t>
  </si>
  <si>
    <t>Login com espaço no final do e-mail</t>
  </si>
  <si>
    <t>Verificar se o sistema remove automaticamente espaços em branco no início ou fim do e-mail antes de validar o login.</t>
  </si>
  <si>
    <t>Dado que o usuário esteja na página de login
Quando inserir um e-mail válido com espaço no começo ou no final
E inserir uma senha válida
E clicar no botão de login</t>
  </si>
  <si>
    <t>Então o sistema deve remover o espaço automaticamente
E permitir o login com sucesso.</t>
  </si>
  <si>
    <r>
      <rPr>
        <b/>
        <i/>
        <color rgb="FFFFFFFF"/>
      </rPr>
      <t xml:space="preserve">Exemplo de teste de Cadastro de Usuário (automatizado) com dados e ambiente fictício.
URL de testes (fictícia): </t>
    </r>
    <r>
      <rPr>
        <b/>
        <i/>
        <color rgb="FF000000"/>
        <u/>
      </rPr>
      <t>https://automationpratice.com.br/register</t>
    </r>
  </si>
  <si>
    <t>CT01</t>
  </si>
  <si>
    <t xml:space="preserve">Cadastro sem preencher o nome </t>
  </si>
  <si>
    <t xml:space="preserve"> Verificar se o sistema impede o cadastro quando o campo nome está vazio.</t>
  </si>
  <si>
    <t>Estar na Página de Cadastro</t>
  </si>
  <si>
    <t xml:space="preserve">Dado que o usuário está na página de cadastro
Quando ele digitar o e-mail
E deixar o campo nome vazio
E clicar no botão de cadastrar
 </t>
  </si>
  <si>
    <t xml:space="preserve"> Então deve aparecer a mensagem, campo Nome é obrigatório</t>
  </si>
  <si>
    <t>CT02</t>
  </si>
  <si>
    <t>Cadastro sem preencher e-mail</t>
  </si>
  <si>
    <t>Garantir que o sistema exiba mensagem de erro ao deixar o campo e-mail em branco.</t>
  </si>
  <si>
    <t>Dado que o usuário está na página de cadastro
Quando prencher o campo nome
E digitar a senha
E deixar o campo e-mail vazio
E clicar no botão de cadastrar</t>
  </si>
  <si>
    <t>Então deve aparecer a mensagem, campo e-mail é obrigatório</t>
  </si>
  <si>
    <t>Em execução</t>
  </si>
  <si>
    <t>CT03</t>
  </si>
  <si>
    <t>Cadastro sem preencher a senha</t>
  </si>
  <si>
    <t>Validar se o sistema exige o preenchimento da senha antes de cadastrar.</t>
  </si>
  <si>
    <t>Dado que o usuário está na página de cadastro
Quando preencher o campo nome
E preencher o campo e-mail
E deixar o campo senha vazio E clicar no botão de cadastrar</t>
  </si>
  <si>
    <t>Então deve aparecer a mensagem, campo senha é obrigatório</t>
  </si>
  <si>
    <t>CT04</t>
  </si>
  <si>
    <t>Cadastro com e-mail incorreto</t>
  </si>
  <si>
    <t>Confirmar que o sistema identifique e rejeite e-mails com formato inválido.</t>
  </si>
  <si>
    <t>Dado que o usuário está na página de cadastro
Quando prencher o campo nome
E digitar a senha
E adicionar um e-mail incorreto
E clicar no botão de cadastrar</t>
  </si>
  <si>
    <t>Então deve aparecer a mensagem, campo e-mail inválido</t>
  </si>
  <si>
    <t>CT05</t>
  </si>
  <si>
    <t>Cadastro com sucesso</t>
  </si>
  <si>
    <t>Validar se o sistema permite o cadastro com todos os dados válidos</t>
  </si>
  <si>
    <t>Dado que o usuário está na página de cadastro
Quando prencher o campo nome
E digitar a senha
E adicionar um e-mail válido
E clicar no botão de cadastrar</t>
  </si>
  <si>
    <t>Então deve aparecer a mensagem, cadastro realizado com sucesso</t>
  </si>
  <si>
    <t>CT06</t>
  </si>
  <si>
    <t>Cadastro já existente</t>
  </si>
  <si>
    <t>Verificar se o sistema impede o cadastro de um e-mail já registrado.</t>
  </si>
  <si>
    <t>Dado que o usuário está na página de cadastro
Quando prencher o campo nome
E digitar a senha
E adicionar um e-mail já existente
E clicar no botão de cadastrar</t>
  </si>
  <si>
    <t>Então deve aparecer a mensagem, e-mail já cadastrado</t>
  </si>
  <si>
    <t>CT07</t>
  </si>
  <si>
    <t>Botão cadastrar visivel somente após preenchimento dos dados</t>
  </si>
  <si>
    <t>Garantir que o botão cadastrar só fique ativo após todos os campos obrigatórios serem preenchidos.</t>
  </si>
  <si>
    <t xml:space="preserve">Dado que o usuário está na página de cadastro
Quando prencher todos os campo obrigatórios (nome, e-mail e senha)
</t>
  </si>
  <si>
    <t>Então o botão cadastrar deve ficar visivel e habilitado para clique</t>
  </si>
  <si>
    <t>Testes criados para fins de demonstração e estudos com dados fictício.</t>
  </si>
  <si>
    <t>Caso de Teste</t>
  </si>
  <si>
    <t xml:space="preserve">Cenários de Testes </t>
  </si>
  <si>
    <t>Validar si o sistema só aceita idade entre 18 e 60 anos.</t>
  </si>
  <si>
    <t>Garantir que o sistema só permita cadastro para usuários com idade mínima de 18 e máxima de 60 anos.</t>
  </si>
  <si>
    <t>Estar na página de Cadastro</t>
  </si>
  <si>
    <t>1. Acessar a tela de cadastro.
2. Preencher todos os campos obrigatórios.
3. Digitar o numero 17 no campo idade.
4. Clicar em “Cadastrar”.
5. Verificar se o sistema exibe mensagem de erro "idade mínima permitida é de 18 anos".</t>
  </si>
  <si>
    <t>1. Acessar a tela de cadastro.
2. Preencher todos os campos obrigatórios corretamente.
3. Digitar o valor 18 no campo idade.
4. Clicar em “Cadastrar”.
5. Verificar se o sistema aceita cadastro com sucesso.
6. Repetir os passos 3 a 5 para os valores 19,30, 59 e 60, um de cada vez.</t>
  </si>
  <si>
    <t>O sistema deve aceitar o cadastro com sucesso para todas as idades testadas (18, 19, 30, 59 e 60).</t>
  </si>
  <si>
    <t>1. Acessar a tela de cadastro.
2. Preencher todos os campos obrigatórios.
3. Digitar o numero 61 no campo idade.
4. Clicar em “Cadastrar”.
5. Verificar se o sistema exibe mensagem de erro "idade máxima permitida é de 60 anos".</t>
  </si>
  <si>
    <t xml:space="preserve">
Exemplo de Teste de API manual – Login de Usuário, realizado no postman (Dados Fictícios).
URL da API (fictícia): https://api.ficticia.com/login
Método: POST
Headers: Content-Type: application/json
Body (JSON): tipo "raw"
Objetivo: Validar o login de usuário com diferentes combinações de credenciais válidas e inválidas (dados fictícios)</t>
  </si>
  <si>
    <t>Cenário criado para fins de estudos e demonstração de testes de API manuais.</t>
  </si>
  <si>
    <t>Cenário</t>
  </si>
  <si>
    <t>Payload (JSON)</t>
  </si>
  <si>
    <t>Resultado Esperado (Status HTTP + Mensagem)</t>
  </si>
  <si>
    <t>Resuldado Obitido</t>
  </si>
  <si>
    <t>Status</t>
  </si>
  <si>
    <t>Observação</t>
  </si>
  <si>
    <t>D01</t>
  </si>
  <si>
    <t>Login válido</t>
  </si>
  <si>
    <t>{ "email": "fer@example.com", "password": "123456" }</t>
  </si>
  <si>
    <t>Código 200, "Login realizado com sucesso"</t>
  </si>
  <si>
    <t>Aprovado</t>
  </si>
  <si>
    <t>D02</t>
  </si>
  <si>
    <t>Email inválido</t>
  </si>
  <si>
    <t>{ "email": "errado@example.com", "password": "123456" }</t>
  </si>
  <si>
    <t>Código 401, "Email ou senha incorretos"</t>
  </si>
  <si>
    <t>D03</t>
  </si>
  <si>
    <t>Senha incorreta</t>
  </si>
  <si>
    <t>{ "email": "fer@example.com", "password": "abcdef" }</t>
  </si>
  <si>
    <t>D04</t>
  </si>
  <si>
    <t>Email vazio</t>
  </si>
  <si>
    <t>{ "email": "", "password": "123456" }</t>
  </si>
  <si>
    <t>Código 400, "Email é obrigatório"</t>
  </si>
  <si>
    <t>D05</t>
  </si>
  <si>
    <t xml:space="preserve">Senha vazia </t>
  </si>
  <si>
    <t>{ "email": "fer@example.com", "password": "" }</t>
  </si>
  <si>
    <t>Código 400, "Senha é obrigatória"</t>
  </si>
  <si>
    <t>DO6</t>
  </si>
  <si>
    <t xml:space="preserve">Email e senhas vazios </t>
  </si>
  <si>
    <t>{ "email": "", "password": "" }</t>
  </si>
  <si>
    <t>Código 400, "Email e senha são obrigatórios"</t>
  </si>
  <si>
    <t xml:space="preserve">Exemplo de Teste de API manual – Cadastro de Usuário,realizado no postman (Dados Fictícios).
URL da API (fictícia): https://api.ficticia.com/register
Método: POST
Headers: Content-Type: application/json
Body (JSON): tipo "raw"
Objetivo: Validar o cadastro de usuários com diferentes combinações de dados obrigatórios e inválidos (dados fictícios)
</t>
  </si>
  <si>
    <t xml:space="preserve">                 </t>
  </si>
  <si>
    <t>F01</t>
  </si>
  <si>
    <t>Cadastro válido</t>
  </si>
  <si>
    <t>{ "nome": "Fernanda Carvalho", "email": "fer@example.com", "password": "123456" }</t>
  </si>
  <si>
    <t>Código 201, "Usuário cadastrado com sucesso"</t>
  </si>
  <si>
    <t>F02</t>
  </si>
  <si>
    <t>Email já existente</t>
  </si>
  <si>
    <t>Código 409, "Email já cadastrado"</t>
  </si>
  <si>
    <t>F03</t>
  </si>
  <si>
    <t>Senha muito curta</t>
  </si>
  <si>
    <t>{ "nome": "Fernanda Carvalho", "email": "nova@example.com", "password": "12" }</t>
  </si>
  <si>
    <t>Código 400, "Senha deve conter no mínimo 6 caracteres"</t>
  </si>
  <si>
    <t>F04</t>
  </si>
  <si>
    <t xml:space="preserve">Campo nome vazio        </t>
  </si>
  <si>
    <t xml:space="preserve"> { "nome": "", "email": "novo@example.com", "password": "123456" }</t>
  </si>
  <si>
    <t>Código 400, "Nome é obrigatório"</t>
  </si>
  <si>
    <t>F05</t>
  </si>
  <si>
    <t>Campos vazios</t>
  </si>
  <si>
    <t>{ "nome": "", "email": "", "password": "" }</t>
  </si>
  <si>
    <t>Código 400, "Nome, email e senha são obrigatórios"</t>
  </si>
  <si>
    <t xml:space="preserve">  ID </t>
  </si>
  <si>
    <t>Condições/Regras</t>
  </si>
  <si>
    <t>Cenário 1</t>
  </si>
  <si>
    <t>Cenário 2</t>
  </si>
  <si>
    <t>Cenário 3</t>
  </si>
  <si>
    <t>Cenário 4</t>
  </si>
  <si>
    <t>Cenário 5</t>
  </si>
  <si>
    <t>Cenário 6</t>
  </si>
  <si>
    <t>Carrinho com produto</t>
  </si>
  <si>
    <t>Sim</t>
  </si>
  <si>
    <t>Não</t>
  </si>
  <si>
    <t>Campos obrigatórios preenchidos</t>
  </si>
  <si>
    <t>CEP válido</t>
  </si>
  <si>
    <t>Pagamento válido</t>
  </si>
  <si>
    <t>Estoque suficiente</t>
  </si>
  <si>
    <t>Resultado Esperado:</t>
  </si>
  <si>
    <t>Pedido realizado com sucesso.</t>
  </si>
  <si>
    <t>Mensagem, Carrinho vazio.</t>
  </si>
  <si>
    <t>Mensagem, Campo obrigatório faltando.</t>
  </si>
  <si>
    <t>Mensagem, CEP inválido.</t>
  </si>
  <si>
    <t>Mensagem, Pagamento inválido.</t>
  </si>
  <si>
    <t>Mensagem, Produto sem estoque suficiente.</t>
  </si>
  <si>
    <t>Dado de Entrada</t>
  </si>
  <si>
    <t>Faixa/Valor</t>
  </si>
  <si>
    <t>Idade menor que 18</t>
  </si>
  <si>
    <t xml:space="preserve">Fora da faixa </t>
  </si>
  <si>
    <t>Exibir mensagem, idade inválida</t>
  </si>
  <si>
    <t>Validar se o sistema aceita apenas idades entre 18 e 60 anos no campo "Idade" do cadastro.</t>
  </si>
  <si>
    <t>Idade entre 18 e 60</t>
  </si>
  <si>
    <t>Dentro da faixa</t>
  </si>
  <si>
    <t>Cadastro permitido</t>
  </si>
  <si>
    <t>Idade acima de 60</t>
  </si>
  <si>
    <t>Tabela de bugs criada para demonstração e estudos com dados fictício.</t>
  </si>
  <si>
    <t xml:space="preserve">Título do Bug </t>
  </si>
  <si>
    <t xml:space="preserve">Severidade </t>
  </si>
  <si>
    <t>Prioridade</t>
  </si>
  <si>
    <t>Passo a passo</t>
  </si>
  <si>
    <t>Comportamento Atual</t>
  </si>
  <si>
    <t>BUG-001</t>
  </si>
  <si>
    <t xml:space="preserve">Botão "Cadastrar" não funciona </t>
  </si>
  <si>
    <t>1- Abrir cadastro, 2- Preencher dados, 3- Clicar em cadastrar</t>
  </si>
  <si>
    <t xml:space="preserve">Botão não executa ação </t>
  </si>
  <si>
    <t xml:space="preserve">Enviar dados e cadastrar </t>
  </si>
  <si>
    <t xml:space="preserve">Botão não funciona </t>
  </si>
  <si>
    <t>BUG-002</t>
  </si>
  <si>
    <t>Campo senha aceita menos de 6 caracteres</t>
  </si>
  <si>
    <t>1- Abrir cadastro, 2- Digitar senha "123", 3- Clicar em cadastrar</t>
  </si>
  <si>
    <t>Aceita senha curta</t>
  </si>
  <si>
    <t>Só aceitar senha apartir de 6 dígitos</t>
  </si>
  <si>
    <t>Realiza cadastro com senha menor que 6 dígitos</t>
  </si>
  <si>
    <t>BUG-003</t>
  </si>
  <si>
    <t>Campo de email aceita formato inválido</t>
  </si>
  <si>
    <t>1- Abrir cadastro, 2- Digitar email "teste@teste", 3- Clicar em cadastrar</t>
  </si>
  <si>
    <t>Aceita formato de email não permitido</t>
  </si>
  <si>
    <t>Recusar formato de email inválido</t>
  </si>
  <si>
    <t>Realiza cadastro com formato de email inválido</t>
  </si>
  <si>
    <t xml:space="preserve">Idade no limite minimo </t>
  </si>
  <si>
    <t>Idade acima de 18</t>
  </si>
  <si>
    <t xml:space="preserve">Dentro da faixa </t>
  </si>
  <si>
    <t>Idade abaixo de 60</t>
  </si>
  <si>
    <t>Idade no limite maximo</t>
  </si>
  <si>
    <t xml:space="preserve">Idade acima de 60 </t>
  </si>
  <si>
    <t>ID/ CASOS DE TESTE</t>
  </si>
  <si>
    <t>Cenário de Testes</t>
  </si>
  <si>
    <t>Responsável (QA)</t>
  </si>
  <si>
    <t>Data do Teste</t>
  </si>
  <si>
    <t>Data de Reteste/ Correção</t>
  </si>
  <si>
    <t>Funcionalidade/ Módulo</t>
  </si>
  <si>
    <t>Resultado esperado</t>
  </si>
  <si>
    <t>Resultado obtido</t>
  </si>
  <si>
    <t>Fernanda Carvalho</t>
  </si>
  <si>
    <t>O sistema deve estar disponível.
O usuário deve ter cadastro prévio com usuário e senha válidos.</t>
  </si>
  <si>
    <t xml:space="preserve">
</t>
  </si>
  <si>
    <t>Bloqueada</t>
  </si>
  <si>
    <t>Concluída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</si>
</sst>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9">
    <font>
      <sz val="10.0"/>
      <color rgb="FF000000"/>
      <name val="Arial"/>
      <scheme val="minor"/>
    </font>
    <font>
      <b/>
      <i/>
      <u/>
      <color rgb="FFFFFFFF"/>
    </font>
    <font>
      <b/>
      <i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rgb="FF434343"/>
      <name val="Arial"/>
      <scheme val="minor"/>
    </font>
    <font>
      <u/>
      <color rgb="FF0000FF"/>
      <name val="Roboto"/>
    </font>
    <font>
      <b/>
      <i/>
      <color rgb="FF666666"/>
      <name val="Arial"/>
      <scheme val="minor"/>
    </font>
    <font>
      <u/>
      <color rgb="FF0000FF"/>
      <name val="Roboto"/>
    </font>
    <font>
      <b/>
      <i/>
      <u/>
      <color rgb="FFFFFFFF"/>
    </font>
    <font>
      <color rgb="FF000000"/>
      <name val="Roboto"/>
    </font>
    <font>
      <b/>
      <i/>
      <color rgb="FFFFFFFF"/>
      <name val="Arial"/>
      <scheme val="minor"/>
    </font>
    <font>
      <b/>
      <color rgb="FFFFFFFF"/>
      <name val="Arial"/>
      <scheme val="minor"/>
    </font>
    <font>
      <b/>
      <color theme="0"/>
      <name val="Arial"/>
      <scheme val="minor"/>
    </font>
    <font>
      <color rgb="FFF50AB0"/>
      <name val="Arial"/>
      <scheme val="minor"/>
    </font>
    <font>
      <b/>
      <i/>
      <color theme="0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50AB0"/>
        <bgColor rgb="FFF50AB0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0"/>
    </xf>
    <xf borderId="0" fillId="2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4" numFmtId="49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6" numFmtId="49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7" numFmtId="49" xfId="0" applyAlignment="1" applyFont="1" applyNumberForma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center"/>
    </xf>
    <xf borderId="0" fillId="2" fontId="8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49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2" fontId="10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1" numFmtId="0" xfId="0" applyAlignment="1" applyFont="1">
      <alignment horizontal="center" readingOrder="0" shrinkToFit="0" vertical="center" wrapText="1"/>
    </xf>
    <xf borderId="0" fillId="0" fontId="4" numFmtId="49" xfId="0" applyAlignment="1" applyFont="1" applyNumberFormat="1">
      <alignment horizontal="center" shrinkToFit="0" vertical="center" wrapText="0"/>
    </xf>
    <xf borderId="0" fillId="2" fontId="12" numFmtId="0" xfId="0" applyAlignment="1" applyFont="1">
      <alignment horizontal="left" readingOrder="0" shrinkToFit="0" wrapText="0"/>
    </xf>
    <xf borderId="0" fillId="2" fontId="2" numFmtId="0" xfId="0" applyAlignment="1" applyFont="1">
      <alignment horizontal="center" readingOrder="0" shrinkToFit="0" wrapText="1"/>
    </xf>
    <xf borderId="0" fillId="2" fontId="2" numFmtId="0" xfId="0" applyAlignment="1" applyFont="1">
      <alignment horizontal="left" readingOrder="0" shrinkToFit="0" wrapText="1"/>
    </xf>
    <xf borderId="0" fillId="0" fontId="4" numFmtId="49" xfId="0" applyAlignment="1" applyFont="1" applyNumberFormat="1">
      <alignment horizontal="left" readingOrder="0" shrinkToFit="0" vertical="center" wrapText="1"/>
    </xf>
    <xf borderId="0" fillId="3" fontId="13" numFmtId="0" xfId="0" applyAlignment="1" applyFill="1" applyFont="1">
      <alignment readingOrder="0"/>
    </xf>
    <xf borderId="0" fillId="3" fontId="4" numFmtId="0" xfId="0" applyFont="1"/>
    <xf borderId="0" fillId="3" fontId="14" numFmtId="0" xfId="0" applyAlignment="1" applyFont="1">
      <alignment readingOrder="0"/>
    </xf>
    <xf borderId="0" fillId="3" fontId="15" numFmtId="0" xfId="0" applyFont="1"/>
    <xf borderId="0" fillId="2" fontId="14" numFmtId="0" xfId="0" applyAlignment="1" applyFont="1">
      <alignment readingOrder="0"/>
    </xf>
    <xf borderId="0" fillId="2" fontId="4" numFmtId="0" xfId="0" applyFont="1"/>
    <xf borderId="0" fillId="3" fontId="12" numFmtId="0" xfId="0" applyAlignment="1" applyFont="1">
      <alignment horizontal="center" readingOrder="0" vertical="top"/>
    </xf>
    <xf borderId="0" fillId="3" fontId="12" numFmtId="0" xfId="0" applyAlignment="1" applyFont="1">
      <alignment horizontal="left" readingOrder="0" vertical="top"/>
    </xf>
    <xf borderId="0" fillId="3" fontId="12" numFmtId="0" xfId="0" applyAlignment="1" applyFont="1">
      <alignment horizontal="center" readingOrder="0" shrinkToFit="0" vertical="bottom" wrapText="0"/>
    </xf>
    <xf borderId="0" fillId="3" fontId="12" numFmtId="0" xfId="0" applyAlignment="1" applyFont="1">
      <alignment readingOrder="0"/>
    </xf>
    <xf borderId="0" fillId="3" fontId="4" numFmtId="0" xfId="0" applyAlignment="1" applyFont="1">
      <alignment readingOrder="0"/>
    </xf>
    <xf borderId="0" fillId="3" fontId="16" numFmtId="0" xfId="0" applyAlignment="1" applyFont="1">
      <alignment horizontal="center" readingOrder="0"/>
    </xf>
    <xf borderId="0" fillId="3" fontId="16" numFmtId="0" xfId="0" applyAlignment="1" applyFont="1">
      <alignment readingOrder="0"/>
    </xf>
    <xf borderId="0" fillId="3" fontId="12" numFmtId="0" xfId="0" applyAlignment="1" applyFont="1">
      <alignment readingOrder="0" vertical="top"/>
    </xf>
    <xf borderId="0" fillId="3" fontId="12" numFmtId="0" xfId="0" applyAlignment="1" applyFont="1">
      <alignment readingOrder="0" shrinkToFit="0" vertical="bottom" wrapText="0"/>
    </xf>
    <xf borderId="0" fillId="3" fontId="4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0" fillId="4" fontId="4" numFmtId="0" xfId="0" applyAlignment="1" applyFill="1" applyFont="1">
      <alignment horizontal="center" readingOrder="0"/>
    </xf>
    <xf borderId="0" fillId="4" fontId="4" numFmtId="0" xfId="0" applyAlignment="1" applyFont="1">
      <alignment readingOrder="0"/>
    </xf>
    <xf borderId="0" fillId="4" fontId="4" numFmtId="0" xfId="0" applyFont="1"/>
    <xf borderId="0" fillId="4" fontId="4" numFmtId="0" xfId="0" applyAlignment="1" applyFont="1">
      <alignment horizontal="right" readingOrder="0"/>
    </xf>
    <xf borderId="0" fillId="4" fontId="4" numFmtId="0" xfId="0" applyAlignment="1" applyFont="1">
      <alignment horizontal="center" readingOrder="0" shrinkToFit="0" vertical="top" wrapText="0"/>
    </xf>
    <xf borderId="0" fillId="2" fontId="13" numFmtId="0" xfId="0" applyAlignment="1" applyFont="1">
      <alignment readingOrder="0"/>
    </xf>
    <xf borderId="0" fillId="3" fontId="12" numFmtId="0" xfId="0" applyAlignment="1" applyFont="1">
      <alignment horizontal="center" readingOrder="0"/>
    </xf>
    <xf borderId="0" fillId="3" fontId="16" numFmtId="0" xfId="0" applyAlignment="1" applyFont="1">
      <alignment horizontal="left" readingOrder="0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top" wrapText="0"/>
    </xf>
    <xf borderId="0" fillId="0" fontId="4" numFmtId="0" xfId="0" applyAlignment="1" applyFont="1">
      <alignment horizontal="center" readingOrder="0"/>
    </xf>
    <xf borderId="0" fillId="4" fontId="4" numFmtId="0" xfId="0" applyAlignment="1" applyFont="1">
      <alignment horizontal="center" readingOrder="0" vertical="center"/>
    </xf>
    <xf borderId="0" fillId="4" fontId="4" numFmtId="0" xfId="0" applyAlignment="1" applyFont="1">
      <alignment readingOrder="0" vertical="center"/>
    </xf>
    <xf borderId="0" fillId="4" fontId="4" numFmtId="0" xfId="0" applyAlignment="1" applyFont="1">
      <alignment horizontal="left" readingOrder="0" shrinkToFit="0" vertical="center" wrapText="0"/>
    </xf>
    <xf borderId="0" fillId="4" fontId="4" numFmtId="0" xfId="0" applyAlignment="1" applyFont="1">
      <alignment horizontal="left" readingOrder="0" shrinkToFit="0" vertical="top" wrapText="0"/>
    </xf>
    <xf borderId="0" fillId="5" fontId="4" numFmtId="0" xfId="0" applyFill="1" applyFont="1"/>
    <xf borderId="0" fillId="4" fontId="4" numFmtId="0" xfId="0" applyAlignment="1" applyFont="1">
      <alignment horizontal="left" readingOrder="0" vertical="center"/>
    </xf>
    <xf borderId="0" fillId="4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4" fontId="4" numFmtId="0" xfId="0" applyAlignment="1" applyFont="1">
      <alignment horizontal="center" readingOrder="0" shrinkToFit="0" vertical="center" wrapText="0"/>
    </xf>
    <xf borderId="0" fillId="4" fontId="4" numFmtId="0" xfId="0" applyAlignment="1" applyFont="1">
      <alignment readingOrder="0" shrinkToFit="0" vertical="center" wrapText="0"/>
    </xf>
    <xf borderId="0" fillId="4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wrapText="1"/>
    </xf>
    <xf borderId="0" fillId="4" fontId="4" numFmtId="0" xfId="0" applyAlignment="1" applyFont="1">
      <alignment readingOrder="0" shrinkToFit="0" wrapText="0"/>
    </xf>
    <xf borderId="0" fillId="4" fontId="4" numFmtId="0" xfId="0" applyAlignment="1" applyFont="1">
      <alignment readingOrder="0" shrinkToFit="0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readingOrder="0" shrinkToFit="0" vertical="center" wrapText="0"/>
    </xf>
    <xf borderId="0" fillId="0" fontId="4" numFmtId="49" xfId="0" applyAlignment="1" applyFont="1" applyNumberFormat="1">
      <alignment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horizontal="left" readingOrder="0" shrinkToFit="0" vertical="top" wrapText="1"/>
    </xf>
    <xf borderId="0" fillId="0" fontId="4" numFmtId="49" xfId="0" applyAlignment="1" applyFont="1" applyNumberFormat="1">
      <alignment horizontal="center" readingOrder="0" shrinkToFit="0" vertical="top" wrapText="1"/>
    </xf>
    <xf borderId="0" fillId="0" fontId="4" numFmtId="0" xfId="0" applyAlignment="1" applyFont="1">
      <alignment readingOrder="0" shrinkToFit="0" vertical="center" wrapText="0"/>
    </xf>
    <xf borderId="0" fillId="3" fontId="4" numFmtId="49" xfId="0" applyAlignment="1" applyFont="1" applyNumberFormat="1">
      <alignment shrinkToFit="0" vertical="center" wrapText="0"/>
    </xf>
    <xf borderId="0" fillId="3" fontId="16" numFmtId="49" xfId="0" applyAlignment="1" applyFont="1" applyNumberFormat="1">
      <alignment readingOrder="0" shrinkToFit="0" vertical="center" wrapText="0"/>
    </xf>
    <xf borderId="0" fillId="5" fontId="4" numFmtId="49" xfId="0" applyAlignment="1" applyFont="1" applyNumberFormat="1">
      <alignment readingOrder="0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5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2" fontId="16" numFmtId="0" xfId="0" applyAlignment="1" applyFont="1">
      <alignment horizontal="left" readingOrder="0" shrinkToFit="0" vertical="center" wrapText="0"/>
    </xf>
    <xf borderId="0" fillId="2" fontId="2" numFmtId="0" xfId="0" applyAlignment="1" applyFont="1">
      <alignment horizontal="center" readingOrder="0" shrinkToFit="0" wrapText="1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4" numFmtId="49" xfId="0" applyAlignment="1" applyFont="1" applyNumberFormat="1">
      <alignment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164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17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164" xfId="0" applyAlignment="1" applyFont="1" applyNumberFormat="1">
      <alignment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50AB0"/>
          <bgColor rgb="FFF50AB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F50AB0"/>
        </left>
        <right style="thin">
          <color rgb="FFF50AB0"/>
        </right>
        <top style="thin">
          <color rgb="FFF50AB0"/>
        </top>
        <bottom style="thin">
          <color rgb="FFF50AB0"/>
        </bottom>
      </border>
    </dxf>
  </dxfs>
  <tableStyles count="9">
    <tableStyle count="4" pivot="0" name="CHECKOU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G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DASTR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DAD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ELA DE DECISÃO CHECKOU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RTIÇÃO DE EQUIVALÊNC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GS FICTIC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ALOR LIMI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ela comple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4:K13" displayName="TESTE_DE_CHECKOUT" name="TESTE_DE_CHECKOUT" id="1">
  <tableColumns count="11">
    <tableColumn name="ID" id="1"/>
    <tableColumn name="Casos de Testes" id="2"/>
    <tableColumn name="Objetivo" id="3"/>
    <tableColumn name="Pré-Condição" id="4"/>
    <tableColumn name="Cenários de Testes (BDD &amp; Gherkin)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CHECKOUT-style" showColumnStripes="0" showFirstColumn="1" showLastColumn="1" showRowStripes="1"/>
</table>
</file>

<file path=xl/tables/table2.xml><?xml version="1.0" encoding="utf-8"?>
<table xmlns="http://schemas.openxmlformats.org/spreadsheetml/2006/main" ref="A4:K11" displayName="TESTE_DE_LOGIN" name="TESTE_DE_LOGIN" id="2">
  <tableColumns count="11">
    <tableColumn name="ID" id="1"/>
    <tableColumn name="Casos de Testes" id="2"/>
    <tableColumn name="Objetivo" id="3"/>
    <tableColumn name="Pré-Condição" id="4"/>
    <tableColumn name="Cenário de Testes (BDD &amp; Gherkin)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LOGIN-style" showColumnStripes="0" showFirstColumn="1" showLastColumn="1" showRowStripes="1"/>
</table>
</file>

<file path=xl/tables/table3.xml><?xml version="1.0" encoding="utf-8"?>
<table xmlns="http://schemas.openxmlformats.org/spreadsheetml/2006/main" ref="A4:K15" displayName="TESTE_DE_CADASTRO" name="TESTE_DE_CADASTRO" id="3">
  <tableColumns count="11">
    <tableColumn name="ID" id="1"/>
    <tableColumn name="Casos de Testes" id="2"/>
    <tableColumn name="Objetivo" id="3"/>
    <tableColumn name="Pré-Condição" id="4"/>
    <tableColumn name="Cenários de Testes (BDD &amp; Gherkin)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CADASTRO-style" showColumnStripes="0" showFirstColumn="1" showLastColumn="1" showRowStripes="1"/>
</table>
</file>

<file path=xl/tables/table4.xml><?xml version="1.0" encoding="utf-8"?>
<table xmlns="http://schemas.openxmlformats.org/spreadsheetml/2006/main" ref="A5:K9" displayName="TESTE_IDADE" name="TESTE_IDADE" id="4">
  <tableColumns count="11">
    <tableColumn name="ID" id="1"/>
    <tableColumn name="Caso de Teste" id="2"/>
    <tableColumn name="Objetivo" id="3"/>
    <tableColumn name="Pré-Condição" id="4"/>
    <tableColumn name="Cenários de Testes 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IDADE-style" showColumnStripes="0" showFirstColumn="1" showLastColumn="1" showRowStripes="1"/>
</table>
</file>

<file path=xl/tables/table5.xml><?xml version="1.0" encoding="utf-8"?>
<table xmlns="http://schemas.openxmlformats.org/spreadsheetml/2006/main" ref="A1:H8" displayName="TABELA_DE_DECISÃO_CHECKOUT_" name="TABELA_DE_DECISÃO_CHECKOUT_" id="5">
  <tableColumns count="8">
    <tableColumn name="  ID " id="1"/>
    <tableColumn name="Condições/Regras" id="2"/>
    <tableColumn name="Cenário 1" id="3"/>
    <tableColumn name="Cenário 2" id="4"/>
    <tableColumn name="Cenário 3" id="5"/>
    <tableColumn name="Cenário 4" id="6"/>
    <tableColumn name="Cenário 5" id="7"/>
    <tableColumn name="Cenário 6" id="8"/>
  </tableColumns>
  <tableStyleInfo name="TABELA DE DECISÃO CHECKOUT-style" showColumnStripes="0" showFirstColumn="1" showLastColumn="1" showRowStripes="1"/>
</table>
</file>

<file path=xl/tables/table6.xml><?xml version="1.0" encoding="utf-8"?>
<table xmlns="http://schemas.openxmlformats.org/spreadsheetml/2006/main" ref="A1:H4" displayName="_PARTIÇÃO_DE_EQUIVALÊNCIA" name="_PARTIÇÃO_DE_EQUIVALÊNCIA" id="6">
  <tableColumns count="8">
    <tableColumn name="ID" id="1"/>
    <tableColumn name="Objetivo" id="2"/>
    <tableColumn name="Casos de Testes" id="3"/>
    <tableColumn name="Dado de Entrada" id="4"/>
    <tableColumn name="Faixa/Valor" id="5"/>
    <tableColumn name="Resultado Esperado" id="6"/>
    <tableColumn name="Resultado Obtido" id="7"/>
    <tableColumn name="Status " id="8"/>
  </tableColumns>
  <tableStyleInfo name="PARTIÇÃO DE EQUIVALÊNCIA-style" showColumnStripes="0" showFirstColumn="1" showLastColumn="1" showRowStripes="1"/>
</table>
</file>

<file path=xl/tables/table7.xml><?xml version="1.0" encoding="utf-8"?>
<table xmlns="http://schemas.openxmlformats.org/spreadsheetml/2006/main" ref="A4:I10" displayName="TABELA_DE_BUGS" name="TABELA_DE_BUGS" id="7">
  <tableColumns count="9">
    <tableColumn name="ID" id="1"/>
    <tableColumn name="Título do Bug " id="2"/>
    <tableColumn name="Severidade " id="3"/>
    <tableColumn name="Prioridade" id="4"/>
    <tableColumn name="Passo a passo" id="5"/>
    <tableColumn name="Comportamento Atual" id="6"/>
    <tableColumn name="Resultado Esperado" id="7"/>
    <tableColumn name="Resultado Obtido" id="8"/>
    <tableColumn name="Status " id="9"/>
  </tableColumns>
  <tableStyleInfo name="BUGS FICTICIO-style" showColumnStripes="0" showFirstColumn="1" showLastColumn="1" showRowStripes="1"/>
</table>
</file>

<file path=xl/tables/table8.xml><?xml version="1.0" encoding="utf-8"?>
<table xmlns="http://schemas.openxmlformats.org/spreadsheetml/2006/main" ref="A1:H7" displayName="TESTE_VALOR_LIMITE" name="TESTE_VALOR_LIMITE" id="8">
  <tableColumns count="8">
    <tableColumn name="ID" id="1"/>
    <tableColumn name="Objetivo" id="2"/>
    <tableColumn name="Casos de Testes" id="3"/>
    <tableColumn name="Dado de Entrada" id="4"/>
    <tableColumn name="Faixa/Valor" id="5"/>
    <tableColumn name="Resultado Esperado" id="6"/>
    <tableColumn name="Resultado Obtido" id="7"/>
    <tableColumn name="Status " id="8"/>
  </tableColumns>
  <tableStyleInfo name="VALOR LIMITE-style" showColumnStripes="0" showFirstColumn="1" showLastColumn="1" showRowStripes="1"/>
</table>
</file>

<file path=xl/tables/table9.xml><?xml version="1.0" encoding="utf-8"?>
<table xmlns="http://schemas.openxmlformats.org/spreadsheetml/2006/main" ref="A1:N19" displayName="PLANOS_DE_TESTES" name="PLANOS_DE_TESTES" id="9">
  <tableColumns count="14">
    <tableColumn name="ID/ CASOS DE TESTE" id="1"/>
    <tableColumn name="Cenário de Testes" id="2"/>
    <tableColumn name="Casos de Testes" id="3"/>
    <tableColumn name="Severidade/ Prioridade do teste " id="4"/>
    <tableColumn name="Responsável (QA)" id="5"/>
    <tableColumn name="Status " id="6"/>
    <tableColumn name="Data do Teste" id="7"/>
    <tableColumn name="Data de Reteste/ Correção" id="8"/>
    <tableColumn name="Funcionalidade/ Módulo" id="9"/>
    <tableColumn name="Pré-Condição" id="10"/>
    <tableColumn name=" Evidências " id="11"/>
    <tableColumn name="Observações" id="12"/>
    <tableColumn name="Resultado esperado" id="13"/>
    <tableColumn name="Resultado obtido" id="14"/>
  </tableColumns>
  <tableStyleInfo name="Tabela comple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pratice.com.br/checkout-one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pratice.com.br/login" TargetMode="External"/><Relationship Id="rId2" Type="http://schemas.openxmlformats.org/officeDocument/2006/relationships/hyperlink" Target="https://drive.google.com/file/d/1skoKHEfhdUhdXLnCmndCZnizhLqZFveq/view?usp=sharing" TargetMode="External"/><Relationship Id="rId3" Type="http://schemas.openxmlformats.org/officeDocument/2006/relationships/drawing" Target="../drawings/drawing2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pratice.com.br/register" TargetMode="External"/><Relationship Id="rId2" Type="http://schemas.openxmlformats.org/officeDocument/2006/relationships/drawing" Target="../drawings/drawing3.xml"/><Relationship Id="rId4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mailto:carvalhofernanda64846@gmail.com" TargetMode="External"/><Relationship Id="rId2" Type="http://schemas.openxmlformats.org/officeDocument/2006/relationships/hyperlink" Target="mailto:carvalhofernanda64846@gmail.com" TargetMode="External"/><Relationship Id="rId3" Type="http://schemas.openxmlformats.org/officeDocument/2006/relationships/hyperlink" Target="mailto:carvalhofernanda64846@gmail.com" TargetMode="External"/><Relationship Id="rId4" Type="http://schemas.openxmlformats.org/officeDocument/2006/relationships/hyperlink" Target="mailto:carvalhofernanda64846@gmail.com" TargetMode="External"/><Relationship Id="rId5" Type="http://schemas.openxmlformats.org/officeDocument/2006/relationships/drawing" Target="../drawings/drawing11.xml"/><Relationship Id="rId7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1" t="s">
        <v>0</v>
      </c>
      <c r="B1" s="2"/>
      <c r="C1" s="2"/>
      <c r="D1" s="3"/>
      <c r="E1" s="4"/>
      <c r="F1" s="5"/>
      <c r="G1" s="6"/>
      <c r="H1" s="7"/>
      <c r="I1" s="4"/>
      <c r="J1" s="4"/>
      <c r="K1" s="4"/>
    </row>
    <row r="2">
      <c r="A2" s="6"/>
      <c r="B2" s="4"/>
      <c r="C2" s="4"/>
      <c r="D2" s="3"/>
      <c r="E2" s="4"/>
      <c r="F2" s="5"/>
      <c r="G2" s="6"/>
      <c r="H2" s="7"/>
      <c r="I2" s="4"/>
      <c r="J2" s="4"/>
      <c r="K2" s="4"/>
    </row>
    <row r="3">
      <c r="A3" s="8"/>
      <c r="B3" s="4"/>
      <c r="C3" s="4"/>
      <c r="D3" s="3"/>
      <c r="E3" s="4"/>
      <c r="F3" s="5"/>
      <c r="G3" s="6"/>
      <c r="H3" s="7"/>
      <c r="I3" s="4"/>
      <c r="J3" s="4"/>
      <c r="K3" s="4"/>
    </row>
    <row r="4" ht="22.5" customHeight="1">
      <c r="A4" s="9" t="s">
        <v>1</v>
      </c>
      <c r="B4" s="10" t="s">
        <v>2</v>
      </c>
      <c r="C4" s="9" t="s">
        <v>3</v>
      </c>
      <c r="D4" s="11" t="s">
        <v>4</v>
      </c>
      <c r="E4" s="10" t="s">
        <v>5</v>
      </c>
      <c r="F4" s="12" t="s">
        <v>6</v>
      </c>
      <c r="G4" s="12" t="s">
        <v>7</v>
      </c>
      <c r="H4" s="13" t="s">
        <v>8</v>
      </c>
      <c r="I4" s="10" t="s">
        <v>9</v>
      </c>
      <c r="J4" s="10" t="s">
        <v>10</v>
      </c>
      <c r="K4" s="10" t="s">
        <v>11</v>
      </c>
    </row>
    <row r="5" ht="22.5" customHeight="1">
      <c r="A5" s="14" t="s">
        <v>12</v>
      </c>
      <c r="B5" s="15" t="s">
        <v>13</v>
      </c>
      <c r="C5" s="15" t="s">
        <v>14</v>
      </c>
      <c r="D5" s="16" t="s">
        <v>15</v>
      </c>
      <c r="E5" s="15" t="s">
        <v>16</v>
      </c>
      <c r="F5" s="15" t="s">
        <v>17</v>
      </c>
      <c r="G5" s="17" t="s">
        <v>18</v>
      </c>
      <c r="H5" s="18" t="s">
        <v>19</v>
      </c>
      <c r="I5" s="18" t="s">
        <v>20</v>
      </c>
      <c r="J5" s="19"/>
      <c r="K5" s="20"/>
    </row>
    <row r="6" ht="22.5" customHeight="1">
      <c r="A6" s="14" t="s">
        <v>21</v>
      </c>
      <c r="B6" s="15" t="s">
        <v>22</v>
      </c>
      <c r="C6" s="15" t="s">
        <v>23</v>
      </c>
      <c r="D6" s="16" t="s">
        <v>15</v>
      </c>
      <c r="E6" s="15" t="s">
        <v>24</v>
      </c>
      <c r="F6" s="15" t="s">
        <v>25</v>
      </c>
      <c r="G6" s="21" t="s">
        <v>18</v>
      </c>
      <c r="H6" s="18" t="s">
        <v>26</v>
      </c>
      <c r="I6" s="18" t="s">
        <v>20</v>
      </c>
      <c r="J6" s="22"/>
      <c r="K6" s="20"/>
    </row>
    <row r="7" ht="22.5" customHeight="1">
      <c r="A7" s="14" t="s">
        <v>27</v>
      </c>
      <c r="B7" s="15" t="s">
        <v>28</v>
      </c>
      <c r="C7" s="15" t="s">
        <v>29</v>
      </c>
      <c r="D7" s="16" t="s">
        <v>15</v>
      </c>
      <c r="E7" s="23" t="s">
        <v>30</v>
      </c>
      <c r="F7" s="23" t="s">
        <v>31</v>
      </c>
      <c r="G7" s="23" t="s">
        <v>32</v>
      </c>
      <c r="H7" s="18" t="s">
        <v>19</v>
      </c>
      <c r="I7" s="24" t="s">
        <v>33</v>
      </c>
      <c r="J7" s="25" t="str">
        <f>HYPERLINK("https://drive.google.com/file/d/1sSEzMbX-Nm8PHX0E8X2n5YViJq8Nlf6o/view?usp=drive_link", "Evidência do Teste")</f>
        <v>Evidência do Teste</v>
      </c>
      <c r="K7" s="20"/>
    </row>
    <row r="8" ht="22.5" customHeight="1">
      <c r="A8" s="14" t="s">
        <v>34</v>
      </c>
      <c r="B8" s="15" t="s">
        <v>35</v>
      </c>
      <c r="C8" s="15" t="s">
        <v>36</v>
      </c>
      <c r="D8" s="16" t="s">
        <v>15</v>
      </c>
      <c r="E8" s="15" t="s">
        <v>37</v>
      </c>
      <c r="F8" s="15" t="s">
        <v>38</v>
      </c>
      <c r="G8" s="23" t="s">
        <v>39</v>
      </c>
      <c r="H8" s="18" t="s">
        <v>19</v>
      </c>
      <c r="I8" s="18" t="s">
        <v>33</v>
      </c>
      <c r="J8" s="25" t="str">
        <f>HYPERLINK("https://drive.google.com/file/d/1VydsXFQnJ3zdgAyIfUvlsykcN2e8kC_S/view?usp=sharing", "Evidência do Teste")</f>
        <v>Evidência do Teste</v>
      </c>
      <c r="K8" s="20"/>
    </row>
    <row r="9" ht="22.5" customHeight="1">
      <c r="A9" s="14" t="s">
        <v>40</v>
      </c>
      <c r="B9" s="15" t="s">
        <v>41</v>
      </c>
      <c r="C9" s="15" t="s">
        <v>42</v>
      </c>
      <c r="D9" s="17" t="s">
        <v>15</v>
      </c>
      <c r="E9" s="15" t="s">
        <v>43</v>
      </c>
      <c r="F9" s="15" t="s">
        <v>44</v>
      </c>
      <c r="G9" s="21" t="s">
        <v>18</v>
      </c>
      <c r="H9" s="18" t="s">
        <v>19</v>
      </c>
      <c r="I9" s="18" t="s">
        <v>20</v>
      </c>
      <c r="J9" s="19"/>
      <c r="K9" s="20"/>
    </row>
    <row r="10" ht="22.5" customHeight="1">
      <c r="A10" s="14" t="s">
        <v>45</v>
      </c>
      <c r="B10" s="15" t="s">
        <v>46</v>
      </c>
      <c r="C10" s="15" t="s">
        <v>47</v>
      </c>
      <c r="D10" s="17" t="s">
        <v>15</v>
      </c>
      <c r="E10" s="15" t="s">
        <v>48</v>
      </c>
      <c r="F10" s="15" t="s">
        <v>49</v>
      </c>
      <c r="G10" s="21" t="s">
        <v>18</v>
      </c>
      <c r="H10" s="18" t="s">
        <v>19</v>
      </c>
      <c r="I10" s="18" t="s">
        <v>20</v>
      </c>
      <c r="J10" s="19"/>
      <c r="K10" s="20"/>
    </row>
    <row r="11" ht="22.5" customHeight="1">
      <c r="A11" s="19"/>
      <c r="B11" s="26"/>
      <c r="C11" s="26"/>
      <c r="D11" s="27"/>
      <c r="E11" s="26"/>
      <c r="F11" s="20"/>
      <c r="G11" s="28"/>
      <c r="H11" s="29"/>
      <c r="I11" s="29"/>
      <c r="J11" s="19"/>
      <c r="K11" s="20"/>
    </row>
    <row r="12" ht="22.5" customHeight="1">
      <c r="A12" s="19"/>
      <c r="B12" s="26"/>
      <c r="C12" s="26"/>
      <c r="D12" s="27"/>
      <c r="E12" s="26"/>
      <c r="F12" s="20"/>
      <c r="G12" s="28"/>
      <c r="H12" s="29"/>
      <c r="I12" s="29"/>
      <c r="J12" s="19"/>
      <c r="K12" s="20"/>
    </row>
    <row r="13" ht="22.5" customHeight="1">
      <c r="A13" s="19"/>
      <c r="B13" s="26"/>
      <c r="C13" s="26"/>
      <c r="D13" s="27"/>
      <c r="E13" s="26"/>
      <c r="F13" s="20"/>
      <c r="G13" s="28"/>
      <c r="H13" s="29"/>
      <c r="I13" s="29"/>
      <c r="J13" s="19"/>
      <c r="K13" s="20"/>
    </row>
    <row r="14">
      <c r="D14" s="30"/>
      <c r="G14" s="30"/>
    </row>
    <row r="15">
      <c r="D15" s="30"/>
      <c r="G15" s="30"/>
    </row>
    <row r="16">
      <c r="D16" s="30"/>
      <c r="G16" s="30"/>
    </row>
    <row r="17">
      <c r="D17" s="30"/>
      <c r="G17" s="30"/>
    </row>
  </sheetData>
  <customSheetViews>
    <customSheetView guid="{47216A14-A8C4-4A81-83A1-149BB40B447E}" filter="1" showAutoFilter="1">
      <autoFilter ref="$A$4:$K$13">
        <sortState ref="A4:K13">
          <sortCondition descending="1" ref="A4:A13"/>
        </sortState>
      </autoFilter>
    </customSheetView>
  </customSheetViews>
  <dataValidations>
    <dataValidation type="list" allowBlank="1" sqref="I5:I13">
      <formula1>"Aprovada,Reprovada,Em execução,Bloqueado"</formula1>
    </dataValidation>
    <dataValidation type="list" allowBlank="1" sqref="H5:H13">
      <formula1>"Alta,Média,baixa"</formula1>
    </dataValidation>
  </dataValidations>
  <hyperlinks>
    <hyperlink r:id="rId1" ref="A1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5" width="20.13"/>
    <col customWidth="1" min="6" max="6" width="15.13"/>
    <col customWidth="1" min="7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1" t="s">
        <v>50</v>
      </c>
      <c r="B1" s="2"/>
      <c r="C1" s="31"/>
      <c r="D1" s="3"/>
      <c r="E1" s="4"/>
      <c r="F1" s="32"/>
      <c r="G1" s="6"/>
      <c r="H1" s="4"/>
      <c r="I1" s="4"/>
      <c r="J1" s="4"/>
      <c r="K1" s="4"/>
    </row>
    <row r="2">
      <c r="A2" s="8"/>
      <c r="B2" s="4"/>
      <c r="C2" s="4"/>
      <c r="D2" s="3"/>
      <c r="E2" s="4"/>
      <c r="F2" s="32"/>
      <c r="G2" s="6"/>
      <c r="H2" s="4"/>
      <c r="I2" s="4"/>
      <c r="J2" s="4"/>
      <c r="K2" s="4"/>
    </row>
    <row r="3">
      <c r="A3" s="8"/>
      <c r="B3" s="4"/>
      <c r="C3" s="4"/>
      <c r="D3" s="3"/>
      <c r="E3" s="4"/>
      <c r="F3" s="32"/>
      <c r="G3" s="6"/>
      <c r="H3" s="4"/>
      <c r="I3" s="4"/>
      <c r="J3" s="4"/>
      <c r="K3" s="4"/>
    </row>
    <row r="4" ht="22.5" customHeight="1">
      <c r="A4" s="9" t="s">
        <v>1</v>
      </c>
      <c r="B4" s="10" t="s">
        <v>2</v>
      </c>
      <c r="C4" s="9" t="s">
        <v>3</v>
      </c>
      <c r="D4" s="11" t="s">
        <v>4</v>
      </c>
      <c r="E4" s="10" t="s">
        <v>51</v>
      </c>
      <c r="F4" s="33" t="s">
        <v>6</v>
      </c>
      <c r="G4" s="12" t="s">
        <v>7</v>
      </c>
      <c r="H4" s="10" t="s">
        <v>8</v>
      </c>
      <c r="I4" s="10" t="s">
        <v>9</v>
      </c>
      <c r="J4" s="10" t="s">
        <v>10</v>
      </c>
      <c r="K4" s="10" t="s">
        <v>11</v>
      </c>
    </row>
    <row r="5" ht="22.5" customHeight="1">
      <c r="A5" s="34" t="s">
        <v>52</v>
      </c>
      <c r="B5" s="35" t="s">
        <v>53</v>
      </c>
      <c r="C5" s="35" t="s">
        <v>54</v>
      </c>
      <c r="D5" s="36" t="s">
        <v>55</v>
      </c>
      <c r="E5" s="37" t="s">
        <v>56</v>
      </c>
      <c r="F5" s="37" t="s">
        <v>57</v>
      </c>
      <c r="G5" s="38" t="s">
        <v>18</v>
      </c>
      <c r="H5" s="39" t="s">
        <v>26</v>
      </c>
      <c r="I5" s="39" t="s">
        <v>20</v>
      </c>
      <c r="J5" s="40"/>
      <c r="K5" s="41"/>
    </row>
    <row r="6" ht="22.5" customHeight="1">
      <c r="A6" s="34" t="s">
        <v>58</v>
      </c>
      <c r="B6" s="37" t="s">
        <v>59</v>
      </c>
      <c r="C6" s="37" t="s">
        <v>60</v>
      </c>
      <c r="D6" s="42" t="s">
        <v>61</v>
      </c>
      <c r="E6" s="37" t="s">
        <v>62</v>
      </c>
      <c r="F6" s="37" t="s">
        <v>63</v>
      </c>
      <c r="G6" s="38" t="s">
        <v>18</v>
      </c>
      <c r="H6" s="39" t="s">
        <v>19</v>
      </c>
      <c r="I6" s="39" t="s">
        <v>20</v>
      </c>
      <c r="J6" s="40"/>
      <c r="K6" s="41"/>
    </row>
    <row r="7" ht="22.5" customHeight="1">
      <c r="A7" s="34" t="s">
        <v>64</v>
      </c>
      <c r="B7" s="37" t="s">
        <v>65</v>
      </c>
      <c r="C7" s="37" t="s">
        <v>66</v>
      </c>
      <c r="D7" s="42" t="s">
        <v>61</v>
      </c>
      <c r="E7" s="37" t="s">
        <v>67</v>
      </c>
      <c r="F7" s="37" t="s">
        <v>68</v>
      </c>
      <c r="G7" s="38" t="s">
        <v>69</v>
      </c>
      <c r="H7" s="39" t="s">
        <v>19</v>
      </c>
      <c r="I7" s="39" t="s">
        <v>33</v>
      </c>
      <c r="J7" s="43" t="s">
        <v>70</v>
      </c>
      <c r="K7" s="37" t="s">
        <v>71</v>
      </c>
    </row>
    <row r="8" ht="22.5" customHeight="1">
      <c r="A8" s="34" t="s">
        <v>72</v>
      </c>
      <c r="B8" s="37" t="s">
        <v>73</v>
      </c>
      <c r="C8" s="37" t="s">
        <v>74</v>
      </c>
      <c r="D8" s="38" t="s">
        <v>61</v>
      </c>
      <c r="E8" s="37" t="s">
        <v>75</v>
      </c>
      <c r="F8" s="37" t="s">
        <v>76</v>
      </c>
      <c r="G8" s="38" t="s">
        <v>18</v>
      </c>
      <c r="H8" s="39" t="s">
        <v>19</v>
      </c>
      <c r="I8" s="39" t="s">
        <v>20</v>
      </c>
      <c r="J8" s="40"/>
      <c r="K8" s="41"/>
    </row>
    <row r="9" ht="22.5" customHeight="1">
      <c r="A9" s="19"/>
      <c r="B9" s="15" t="s">
        <v>77</v>
      </c>
      <c r="C9" s="15" t="s">
        <v>78</v>
      </c>
      <c r="D9" s="17" t="s">
        <v>61</v>
      </c>
      <c r="E9" s="37" t="s">
        <v>79</v>
      </c>
      <c r="F9" s="23" t="s">
        <v>80</v>
      </c>
      <c r="G9" s="21" t="s">
        <v>18</v>
      </c>
      <c r="H9" s="18" t="s">
        <v>26</v>
      </c>
      <c r="I9" s="18" t="s">
        <v>33</v>
      </c>
      <c r="J9" s="19"/>
      <c r="K9" s="20"/>
    </row>
    <row r="10" ht="22.5" customHeight="1">
      <c r="A10" s="19"/>
      <c r="B10" s="26"/>
      <c r="C10" s="26"/>
      <c r="D10" s="27"/>
      <c r="E10" s="26"/>
      <c r="F10" s="20"/>
      <c r="G10" s="28"/>
      <c r="H10" s="29"/>
      <c r="I10" s="29"/>
      <c r="J10" s="19"/>
      <c r="K10" s="20"/>
    </row>
    <row r="11" ht="22.5" customHeight="1">
      <c r="A11" s="19"/>
      <c r="B11" s="26"/>
      <c r="C11" s="26"/>
      <c r="D11" s="27"/>
      <c r="E11" s="26"/>
      <c r="F11" s="20"/>
      <c r="G11" s="28"/>
      <c r="H11" s="29"/>
      <c r="I11" s="29"/>
      <c r="J11" s="19"/>
      <c r="K11" s="20"/>
    </row>
    <row r="12">
      <c r="D12" s="30"/>
      <c r="G12" s="30"/>
    </row>
    <row r="13">
      <c r="D13" s="30"/>
      <c r="G13" s="30"/>
    </row>
    <row r="14">
      <c r="D14" s="30"/>
      <c r="G14" s="30"/>
    </row>
    <row r="15">
      <c r="D15" s="30"/>
      <c r="G15" s="30"/>
    </row>
    <row r="16">
      <c r="D16" s="30"/>
      <c r="G16" s="30"/>
    </row>
    <row r="17">
      <c r="D17" s="30"/>
      <c r="G17" s="30"/>
    </row>
    <row r="18">
      <c r="D18" s="30"/>
      <c r="G18" s="30"/>
    </row>
  </sheetData>
  <customSheetViews>
    <customSheetView guid="{47216A14-A8C4-4A81-83A1-149BB40B447E}" filter="1" showAutoFilter="1">
      <autoFilter ref="$A$4:$K$11">
        <sortState ref="A4:K11">
          <sortCondition descending="1" ref="A4:A11"/>
        </sortState>
      </autoFilter>
    </customSheetView>
  </customSheetViews>
  <dataValidations>
    <dataValidation type="list" allowBlank="1" sqref="I5:I11">
      <formula1>"Aprovada,Reprovada,Em execução,Bloqueado"</formula1>
    </dataValidation>
    <dataValidation type="list" allowBlank="1" sqref="H5:H11">
      <formula1>"Alta,Média,baixa"</formula1>
    </dataValidation>
  </dataValidations>
  <hyperlinks>
    <hyperlink r:id="rId1" ref="A1"/>
    <hyperlink r:id="rId2" ref="J7"/>
  </hyperlinks>
  <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44" t="s">
        <v>81</v>
      </c>
      <c r="B1" s="2"/>
      <c r="C1" s="2"/>
      <c r="D1" s="2"/>
      <c r="E1" s="32"/>
      <c r="F1" s="32"/>
      <c r="G1" s="6"/>
      <c r="H1" s="7"/>
      <c r="I1" s="4"/>
      <c r="J1" s="4"/>
      <c r="K1" s="4"/>
    </row>
    <row r="2">
      <c r="A2" s="8"/>
      <c r="B2" s="4"/>
      <c r="C2" s="45"/>
      <c r="D2" s="32"/>
      <c r="E2" s="32"/>
      <c r="F2" s="32"/>
      <c r="G2" s="6"/>
      <c r="H2" s="7"/>
      <c r="I2" s="4"/>
      <c r="J2" s="4"/>
      <c r="K2" s="4"/>
    </row>
    <row r="3">
      <c r="A3" s="8"/>
      <c r="B3" s="4"/>
      <c r="C3" s="45"/>
      <c r="D3" s="32"/>
      <c r="E3" s="32"/>
      <c r="F3" s="32"/>
      <c r="G3" s="6"/>
      <c r="H3" s="7"/>
      <c r="I3" s="4"/>
      <c r="J3" s="4"/>
      <c r="K3" s="4"/>
    </row>
    <row r="4" ht="22.5" customHeight="1">
      <c r="A4" s="9" t="s">
        <v>1</v>
      </c>
      <c r="B4" s="10" t="s">
        <v>2</v>
      </c>
      <c r="C4" s="9" t="s">
        <v>3</v>
      </c>
      <c r="D4" s="11" t="s">
        <v>4</v>
      </c>
      <c r="E4" s="10" t="s">
        <v>5</v>
      </c>
      <c r="F4" s="12" t="s">
        <v>6</v>
      </c>
      <c r="G4" s="12" t="s">
        <v>7</v>
      </c>
      <c r="H4" s="13" t="s">
        <v>8</v>
      </c>
      <c r="I4" s="10" t="s">
        <v>9</v>
      </c>
      <c r="J4" s="10" t="s">
        <v>10</v>
      </c>
      <c r="K4" s="10" t="s">
        <v>11</v>
      </c>
    </row>
    <row r="5" ht="22.5" customHeight="1">
      <c r="A5" s="14" t="s">
        <v>82</v>
      </c>
      <c r="B5" s="15" t="s">
        <v>83</v>
      </c>
      <c r="C5" s="15" t="s">
        <v>84</v>
      </c>
      <c r="D5" s="16" t="s">
        <v>85</v>
      </c>
      <c r="E5" s="15" t="s">
        <v>86</v>
      </c>
      <c r="F5" s="15" t="s">
        <v>87</v>
      </c>
      <c r="G5" s="17" t="s">
        <v>18</v>
      </c>
      <c r="H5" s="18" t="s">
        <v>19</v>
      </c>
      <c r="I5" s="18" t="s">
        <v>20</v>
      </c>
      <c r="J5" s="19"/>
      <c r="K5" s="20"/>
    </row>
    <row r="6" ht="22.5" customHeight="1">
      <c r="A6" s="14" t="s">
        <v>88</v>
      </c>
      <c r="B6" s="15" t="s">
        <v>89</v>
      </c>
      <c r="C6" s="15" t="s">
        <v>90</v>
      </c>
      <c r="D6" s="16" t="s">
        <v>85</v>
      </c>
      <c r="E6" s="15" t="s">
        <v>91</v>
      </c>
      <c r="F6" s="15" t="s">
        <v>92</v>
      </c>
      <c r="G6" s="21" t="s">
        <v>18</v>
      </c>
      <c r="H6" s="18" t="s">
        <v>19</v>
      </c>
      <c r="I6" s="18" t="s">
        <v>93</v>
      </c>
      <c r="J6" s="19"/>
      <c r="K6" s="20"/>
    </row>
    <row r="7" ht="22.5" customHeight="1">
      <c r="A7" s="14" t="s">
        <v>94</v>
      </c>
      <c r="B7" s="15" t="s">
        <v>95</v>
      </c>
      <c r="C7" s="15" t="s">
        <v>96</v>
      </c>
      <c r="D7" s="16" t="s">
        <v>85</v>
      </c>
      <c r="E7" s="23" t="s">
        <v>97</v>
      </c>
      <c r="F7" s="23" t="s">
        <v>98</v>
      </c>
      <c r="G7" s="21" t="s">
        <v>18</v>
      </c>
      <c r="H7" s="18" t="s">
        <v>19</v>
      </c>
      <c r="I7" s="18" t="s">
        <v>93</v>
      </c>
      <c r="J7" s="19"/>
      <c r="K7" s="20"/>
    </row>
    <row r="8" ht="22.5" customHeight="1">
      <c r="A8" s="14" t="s">
        <v>99</v>
      </c>
      <c r="B8" s="15" t="s">
        <v>100</v>
      </c>
      <c r="C8" s="15" t="s">
        <v>101</v>
      </c>
      <c r="D8" s="16" t="s">
        <v>85</v>
      </c>
      <c r="E8" s="15" t="s">
        <v>102</v>
      </c>
      <c r="F8" s="15" t="s">
        <v>103</v>
      </c>
      <c r="G8" s="21" t="s">
        <v>18</v>
      </c>
      <c r="H8" s="18" t="s">
        <v>19</v>
      </c>
      <c r="I8" s="18" t="s">
        <v>20</v>
      </c>
      <c r="J8" s="19"/>
      <c r="K8" s="20"/>
    </row>
    <row r="9" ht="22.5" customHeight="1">
      <c r="A9" s="14" t="s">
        <v>104</v>
      </c>
      <c r="B9" s="15" t="s">
        <v>105</v>
      </c>
      <c r="C9" s="15" t="s">
        <v>106</v>
      </c>
      <c r="D9" s="46" t="str">
        <f>HYPERLINK("https://automationpratice.com.br/register", "Estar na Página de Cadastro")</f>
        <v>Estar na Página de Cadastro</v>
      </c>
      <c r="E9" s="15" t="s">
        <v>107</v>
      </c>
      <c r="F9" s="15" t="s">
        <v>108</v>
      </c>
      <c r="G9" s="21" t="s">
        <v>18</v>
      </c>
      <c r="H9" s="18" t="s">
        <v>19</v>
      </c>
      <c r="I9" s="18" t="s">
        <v>20</v>
      </c>
      <c r="J9" s="19"/>
      <c r="K9" s="20"/>
    </row>
    <row r="10" ht="22.5" customHeight="1">
      <c r="A10" s="14" t="s">
        <v>109</v>
      </c>
      <c r="B10" s="15" t="s">
        <v>110</v>
      </c>
      <c r="C10" s="15" t="s">
        <v>111</v>
      </c>
      <c r="D10" s="16" t="s">
        <v>85</v>
      </c>
      <c r="E10" s="15" t="s">
        <v>112</v>
      </c>
      <c r="F10" s="15" t="s">
        <v>113</v>
      </c>
      <c r="G10" s="21" t="s">
        <v>18</v>
      </c>
      <c r="H10" s="18" t="s">
        <v>19</v>
      </c>
      <c r="I10" s="18" t="s">
        <v>20</v>
      </c>
      <c r="J10" s="19"/>
      <c r="K10" s="20"/>
    </row>
    <row r="11" ht="22.5" customHeight="1">
      <c r="A11" s="14" t="s">
        <v>114</v>
      </c>
      <c r="B11" s="15" t="s">
        <v>115</v>
      </c>
      <c r="C11" s="15" t="s">
        <v>116</v>
      </c>
      <c r="D11" s="17" t="s">
        <v>85</v>
      </c>
      <c r="E11" s="15" t="s">
        <v>117</v>
      </c>
      <c r="F11" s="15" t="s">
        <v>118</v>
      </c>
      <c r="G11" s="21" t="s">
        <v>18</v>
      </c>
      <c r="H11" s="18" t="s">
        <v>19</v>
      </c>
      <c r="I11" s="18" t="s">
        <v>20</v>
      </c>
      <c r="J11" s="19"/>
      <c r="K11" s="20"/>
    </row>
    <row r="12" ht="22.5" customHeight="1">
      <c r="A12" s="47"/>
      <c r="B12" s="26"/>
      <c r="C12" s="26"/>
      <c r="D12" s="27"/>
      <c r="E12" s="26"/>
      <c r="F12" s="20"/>
      <c r="G12" s="28"/>
      <c r="H12" s="29"/>
      <c r="I12" s="29"/>
      <c r="J12" s="19"/>
      <c r="K12" s="20"/>
    </row>
    <row r="13" ht="22.5" customHeight="1">
      <c r="A13" s="47"/>
      <c r="B13" s="26"/>
      <c r="C13" s="26"/>
      <c r="D13" s="27"/>
      <c r="E13" s="26"/>
      <c r="F13" s="20"/>
      <c r="G13" s="28"/>
      <c r="H13" s="29"/>
      <c r="I13" s="29"/>
      <c r="J13" s="19"/>
      <c r="K13" s="20"/>
    </row>
    <row r="14" ht="22.5" customHeight="1">
      <c r="A14" s="47"/>
      <c r="B14" s="26"/>
      <c r="C14" s="26"/>
      <c r="D14" s="27"/>
      <c r="E14" s="26"/>
      <c r="F14" s="20"/>
      <c r="G14" s="28"/>
      <c r="H14" s="29"/>
      <c r="I14" s="29"/>
      <c r="J14" s="19"/>
      <c r="K14" s="20"/>
    </row>
    <row r="15" ht="22.5" customHeight="1">
      <c r="A15" s="47"/>
      <c r="B15" s="26"/>
      <c r="C15" s="26"/>
      <c r="D15" s="27"/>
      <c r="E15" s="26"/>
      <c r="F15" s="20"/>
      <c r="G15" s="28"/>
      <c r="H15" s="29"/>
      <c r="I15" s="29"/>
      <c r="J15" s="19"/>
      <c r="K15" s="20"/>
    </row>
    <row r="16">
      <c r="D16" s="30"/>
      <c r="G16" s="30"/>
    </row>
    <row r="17">
      <c r="D17" s="30"/>
      <c r="G17" s="30"/>
    </row>
    <row r="18">
      <c r="D18" s="30"/>
      <c r="G18" s="30"/>
    </row>
    <row r="19">
      <c r="D19" s="30"/>
      <c r="G19" s="30"/>
    </row>
  </sheetData>
  <customSheetViews>
    <customSheetView guid="{47216A14-A8C4-4A81-83A1-149BB40B447E}" filter="1" showAutoFilter="1">
      <autoFilter ref="$A$4:$K$15">
        <sortState ref="A4:K15">
          <sortCondition descending="1" ref="A4:A15"/>
        </sortState>
      </autoFilter>
    </customSheetView>
  </customSheetViews>
  <dataValidations>
    <dataValidation type="list" allowBlank="1" sqref="I5:I15">
      <formula1>"Aprovada,Reprovada,Em execução,Bloqueado"</formula1>
    </dataValidation>
    <dataValidation type="list" allowBlank="1" sqref="H5:H15">
      <formula1>"Alta,Média,baixa"</formula1>
    </dataValidation>
  </dataValidations>
  <hyperlinks>
    <hyperlink r:id="rId1" ref="A1"/>
  </hyperlinks>
  <drawing r:id="rId2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5" width="20.13"/>
    <col customWidth="1" min="6" max="6" width="15.13"/>
    <col customWidth="1" min="7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48" t="s">
        <v>119</v>
      </c>
      <c r="B1" s="2"/>
      <c r="C1" s="2"/>
      <c r="D1" s="3"/>
      <c r="E1" s="4"/>
      <c r="F1" s="4"/>
      <c r="G1" s="6"/>
      <c r="H1" s="4"/>
      <c r="I1" s="4"/>
      <c r="J1" s="4"/>
      <c r="K1" s="4"/>
    </row>
    <row r="2">
      <c r="A2" s="49"/>
      <c r="B2" s="50"/>
      <c r="C2" s="2"/>
      <c r="D2" s="3"/>
      <c r="E2" s="4"/>
      <c r="F2" s="4"/>
      <c r="G2" s="6"/>
      <c r="H2" s="4"/>
      <c r="I2" s="4"/>
      <c r="J2" s="4"/>
      <c r="K2" s="4"/>
    </row>
    <row r="3">
      <c r="A3" s="8"/>
      <c r="B3" s="4"/>
      <c r="C3" s="4"/>
      <c r="D3" s="3"/>
      <c r="E3" s="4"/>
      <c r="F3" s="4"/>
      <c r="G3" s="6"/>
      <c r="H3" s="4"/>
      <c r="I3" s="4"/>
      <c r="J3" s="4"/>
      <c r="K3" s="4"/>
    </row>
    <row r="4">
      <c r="A4" s="8"/>
      <c r="B4" s="4"/>
      <c r="C4" s="4"/>
      <c r="D4" s="3"/>
      <c r="E4" s="4"/>
      <c r="F4" s="4"/>
      <c r="G4" s="6"/>
      <c r="H4" s="4"/>
      <c r="I4" s="4"/>
      <c r="J4" s="4"/>
      <c r="K4" s="4"/>
    </row>
    <row r="5" ht="22.5" customHeight="1">
      <c r="A5" s="9" t="s">
        <v>1</v>
      </c>
      <c r="B5" s="10" t="s">
        <v>120</v>
      </c>
      <c r="C5" s="9" t="s">
        <v>3</v>
      </c>
      <c r="D5" s="11" t="s">
        <v>4</v>
      </c>
      <c r="E5" s="10" t="s">
        <v>121</v>
      </c>
      <c r="F5" s="10" t="s">
        <v>6</v>
      </c>
      <c r="G5" s="12" t="s">
        <v>7</v>
      </c>
      <c r="H5" s="10" t="s">
        <v>8</v>
      </c>
      <c r="I5" s="10" t="s">
        <v>9</v>
      </c>
      <c r="J5" s="10" t="s">
        <v>10</v>
      </c>
      <c r="K5" s="10" t="s">
        <v>11</v>
      </c>
    </row>
    <row r="6" ht="22.5" customHeight="1">
      <c r="A6" s="34" t="s">
        <v>52</v>
      </c>
      <c r="B6" s="35" t="s">
        <v>122</v>
      </c>
      <c r="C6" s="35" t="s">
        <v>123</v>
      </c>
      <c r="D6" s="36" t="s">
        <v>124</v>
      </c>
      <c r="E6" s="37" t="s">
        <v>125</v>
      </c>
      <c r="F6" s="37"/>
      <c r="G6" s="38" t="s">
        <v>18</v>
      </c>
      <c r="H6" s="39" t="s">
        <v>26</v>
      </c>
      <c r="I6" s="39" t="s">
        <v>20</v>
      </c>
      <c r="J6" s="40"/>
      <c r="K6" s="41"/>
    </row>
    <row r="7" ht="22.5" customHeight="1">
      <c r="A7" s="34" t="s">
        <v>58</v>
      </c>
      <c r="B7" s="37" t="s">
        <v>122</v>
      </c>
      <c r="C7" s="37" t="s">
        <v>123</v>
      </c>
      <c r="D7" s="42" t="s">
        <v>124</v>
      </c>
      <c r="E7" s="37" t="s">
        <v>126</v>
      </c>
      <c r="F7" s="37" t="s">
        <v>127</v>
      </c>
      <c r="G7" s="38" t="s">
        <v>18</v>
      </c>
      <c r="H7" s="39" t="s">
        <v>26</v>
      </c>
      <c r="I7" s="39" t="s">
        <v>20</v>
      </c>
      <c r="J7" s="40"/>
      <c r="K7" s="41"/>
    </row>
    <row r="8" ht="22.5" customHeight="1">
      <c r="A8" s="34" t="s">
        <v>64</v>
      </c>
      <c r="B8" s="37" t="s">
        <v>122</v>
      </c>
      <c r="C8" s="37" t="s">
        <v>123</v>
      </c>
      <c r="D8" s="42" t="s">
        <v>124</v>
      </c>
      <c r="E8" s="37" t="s">
        <v>128</v>
      </c>
      <c r="F8" s="37"/>
      <c r="G8" s="38"/>
      <c r="H8" s="39" t="s">
        <v>26</v>
      </c>
      <c r="I8" s="39" t="s">
        <v>20</v>
      </c>
      <c r="J8" s="51"/>
      <c r="K8" s="37"/>
    </row>
    <row r="9" ht="22.5" customHeight="1">
      <c r="A9" s="47"/>
      <c r="B9" s="26"/>
      <c r="C9" s="26"/>
      <c r="D9" s="27"/>
      <c r="E9" s="26"/>
      <c r="F9" s="26"/>
      <c r="G9" s="28"/>
      <c r="H9" s="29"/>
      <c r="I9" s="29"/>
      <c r="J9" s="19"/>
      <c r="K9" s="20"/>
    </row>
    <row r="10">
      <c r="D10" s="30"/>
      <c r="G10" s="30"/>
    </row>
    <row r="11">
      <c r="D11" s="30"/>
      <c r="G11" s="30"/>
    </row>
    <row r="12">
      <c r="D12" s="30"/>
      <c r="G12" s="30"/>
    </row>
    <row r="13">
      <c r="D13" s="30"/>
      <c r="G13" s="30"/>
    </row>
    <row r="14">
      <c r="D14" s="30"/>
      <c r="G14" s="30"/>
    </row>
    <row r="15">
      <c r="D15" s="30"/>
      <c r="G15" s="30"/>
    </row>
    <row r="16">
      <c r="D16" s="30"/>
      <c r="G16" s="30"/>
    </row>
  </sheetData>
  <customSheetViews>
    <customSheetView guid="{47216A14-A8C4-4A81-83A1-149BB40B447E}" filter="1" showAutoFilter="1">
      <autoFilter ref="$A$5:$K$9">
        <sortState ref="A5:K9">
          <sortCondition descending="1" ref="A5:A9"/>
        </sortState>
      </autoFilter>
    </customSheetView>
  </customSheetViews>
  <dataValidations>
    <dataValidation type="list" allowBlank="1" sqref="I6:I9">
      <formula1>"Aprovada,Reprovada,Em execução,Bloqueado"</formula1>
    </dataValidation>
    <dataValidation type="list" allowBlank="1" sqref="H6:H9">
      <formula1>"Alta,Média,baixa"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52" t="s">
        <v>129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</row>
    <row r="2">
      <c r="A2" s="54"/>
      <c r="B2" s="52"/>
      <c r="C2" s="52"/>
      <c r="D2" s="55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</row>
    <row r="3">
      <c r="A3" s="56" t="s">
        <v>130</v>
      </c>
      <c r="B3" s="57"/>
      <c r="C3" s="57"/>
      <c r="D3" s="57"/>
      <c r="E3" s="57"/>
      <c r="F3" s="57"/>
      <c r="G3" s="57"/>
      <c r="H3" s="57"/>
      <c r="K3" s="30"/>
    </row>
    <row r="4">
      <c r="M4" s="30"/>
    </row>
    <row r="5">
      <c r="M5" s="30"/>
    </row>
    <row r="6">
      <c r="A6" s="58" t="s">
        <v>1</v>
      </c>
      <c r="B6" s="58"/>
      <c r="C6" s="59" t="s">
        <v>131</v>
      </c>
      <c r="D6" s="53"/>
      <c r="E6" s="60" t="s">
        <v>132</v>
      </c>
      <c r="F6" s="60"/>
      <c r="G6" s="52"/>
      <c r="H6" s="53"/>
      <c r="I6" s="61" t="s">
        <v>133</v>
      </c>
      <c r="J6" s="62"/>
      <c r="K6" s="62"/>
      <c r="L6" s="61"/>
      <c r="M6" s="63" t="s">
        <v>134</v>
      </c>
      <c r="N6" s="64"/>
      <c r="O6" s="61" t="s">
        <v>135</v>
      </c>
      <c r="P6" s="61" t="s">
        <v>136</v>
      </c>
      <c r="Q6" s="53"/>
      <c r="R6" s="53"/>
    </row>
    <row r="7">
      <c r="A7" s="65"/>
      <c r="B7" s="65"/>
      <c r="C7" s="65"/>
      <c r="D7" s="53"/>
      <c r="E7" s="66"/>
      <c r="F7" s="53"/>
      <c r="G7" s="53"/>
      <c r="H7" s="53"/>
      <c r="I7" s="53"/>
      <c r="J7" s="53"/>
      <c r="K7" s="53"/>
      <c r="L7" s="53"/>
      <c r="M7" s="67"/>
      <c r="N7" s="53"/>
      <c r="O7" s="53"/>
      <c r="P7" s="53"/>
      <c r="Q7" s="53"/>
      <c r="R7" s="53"/>
    </row>
    <row r="8">
      <c r="A8" s="68"/>
      <c r="B8" s="68"/>
      <c r="C8" s="68"/>
      <c r="E8" s="68"/>
      <c r="I8" s="68"/>
      <c r="L8" s="69"/>
      <c r="M8" s="30"/>
    </row>
    <row r="9">
      <c r="A9" s="70" t="s">
        <v>137</v>
      </c>
      <c r="B9" s="71"/>
      <c r="C9" s="71" t="s">
        <v>138</v>
      </c>
      <c r="D9" s="72"/>
      <c r="E9" s="71" t="s">
        <v>139</v>
      </c>
      <c r="F9" s="72"/>
      <c r="G9" s="72"/>
      <c r="H9" s="72"/>
      <c r="I9" s="71" t="s">
        <v>140</v>
      </c>
      <c r="J9" s="72"/>
      <c r="K9" s="72"/>
      <c r="L9" s="73"/>
      <c r="M9" s="74" t="s">
        <v>18</v>
      </c>
      <c r="N9" s="72"/>
      <c r="O9" s="71" t="s">
        <v>141</v>
      </c>
      <c r="P9" s="72"/>
      <c r="Q9" s="72"/>
      <c r="R9" s="72"/>
    </row>
    <row r="10">
      <c r="M10" s="30"/>
      <c r="O10" s="68"/>
    </row>
    <row r="11">
      <c r="A11" s="70" t="s">
        <v>142</v>
      </c>
      <c r="B11" s="71"/>
      <c r="C11" s="71" t="s">
        <v>143</v>
      </c>
      <c r="D11" s="72"/>
      <c r="E11" s="71" t="s">
        <v>144</v>
      </c>
      <c r="F11" s="72"/>
      <c r="G11" s="72"/>
      <c r="H11" s="72"/>
      <c r="I11" s="71" t="s">
        <v>145</v>
      </c>
      <c r="J11" s="72"/>
      <c r="K11" s="72"/>
      <c r="L11" s="73"/>
      <c r="M11" s="70" t="s">
        <v>18</v>
      </c>
      <c r="N11" s="72"/>
      <c r="O11" s="71" t="s">
        <v>141</v>
      </c>
      <c r="P11" s="72"/>
      <c r="Q11" s="72"/>
      <c r="R11" s="72"/>
    </row>
    <row r="12">
      <c r="M12" s="30"/>
    </row>
    <row r="13">
      <c r="A13" s="70" t="s">
        <v>146</v>
      </c>
      <c r="B13" s="71"/>
      <c r="C13" s="71" t="s">
        <v>147</v>
      </c>
      <c r="D13" s="72"/>
      <c r="E13" s="71" t="s">
        <v>148</v>
      </c>
      <c r="F13" s="72"/>
      <c r="G13" s="72"/>
      <c r="H13" s="72"/>
      <c r="I13" s="71" t="s">
        <v>145</v>
      </c>
      <c r="J13" s="72"/>
      <c r="K13" s="72"/>
      <c r="L13" s="73"/>
      <c r="M13" s="70" t="s">
        <v>18</v>
      </c>
      <c r="N13" s="72"/>
      <c r="O13" s="71" t="s">
        <v>141</v>
      </c>
      <c r="P13" s="72"/>
      <c r="Q13" s="72"/>
      <c r="R13" s="72"/>
    </row>
    <row r="14">
      <c r="M14" s="30"/>
    </row>
    <row r="15">
      <c r="A15" s="70" t="s">
        <v>149</v>
      </c>
      <c r="B15" s="71"/>
      <c r="C15" s="71" t="s">
        <v>150</v>
      </c>
      <c r="D15" s="72"/>
      <c r="E15" s="71" t="s">
        <v>151</v>
      </c>
      <c r="F15" s="72"/>
      <c r="G15" s="72"/>
      <c r="H15" s="72"/>
      <c r="I15" s="71" t="s">
        <v>152</v>
      </c>
      <c r="J15" s="72"/>
      <c r="K15" s="72"/>
      <c r="L15" s="73"/>
      <c r="M15" s="70" t="s">
        <v>18</v>
      </c>
      <c r="N15" s="72"/>
      <c r="O15" s="71" t="s">
        <v>141</v>
      </c>
      <c r="P15" s="72"/>
      <c r="Q15" s="72"/>
      <c r="R15" s="72"/>
    </row>
    <row r="16">
      <c r="M16" s="30"/>
    </row>
    <row r="17">
      <c r="A17" s="70" t="s">
        <v>153</v>
      </c>
      <c r="B17" s="71"/>
      <c r="C17" s="71" t="s">
        <v>154</v>
      </c>
      <c r="D17" s="72"/>
      <c r="E17" s="71" t="s">
        <v>155</v>
      </c>
      <c r="F17" s="72"/>
      <c r="G17" s="72"/>
      <c r="H17" s="72"/>
      <c r="I17" s="71" t="s">
        <v>156</v>
      </c>
      <c r="J17" s="72"/>
      <c r="K17" s="72"/>
      <c r="L17" s="73"/>
      <c r="M17" s="70" t="s">
        <v>18</v>
      </c>
      <c r="N17" s="72"/>
      <c r="O17" s="71" t="s">
        <v>141</v>
      </c>
      <c r="P17" s="72"/>
      <c r="Q17" s="72"/>
      <c r="R17" s="72"/>
    </row>
    <row r="18">
      <c r="M18" s="30"/>
    </row>
    <row r="19">
      <c r="A19" s="70" t="s">
        <v>157</v>
      </c>
      <c r="B19" s="71"/>
      <c r="C19" s="71" t="s">
        <v>158</v>
      </c>
      <c r="D19" s="72"/>
      <c r="E19" s="71" t="s">
        <v>159</v>
      </c>
      <c r="F19" s="72"/>
      <c r="G19" s="72"/>
      <c r="H19" s="72"/>
      <c r="I19" s="71" t="s">
        <v>160</v>
      </c>
      <c r="J19" s="72"/>
      <c r="K19" s="72"/>
      <c r="L19" s="73"/>
      <c r="M19" s="70" t="s">
        <v>18</v>
      </c>
      <c r="N19" s="72"/>
      <c r="O19" s="71" t="s">
        <v>141</v>
      </c>
      <c r="P19" s="72"/>
      <c r="Q19" s="72"/>
      <c r="R19" s="72"/>
    </row>
    <row r="20">
      <c r="M20" s="30"/>
    </row>
    <row r="21">
      <c r="M21" s="30"/>
    </row>
    <row r="22">
      <c r="M22" s="30"/>
    </row>
    <row r="23">
      <c r="M23" s="30"/>
    </row>
    <row r="24">
      <c r="M24" s="30"/>
    </row>
    <row r="25">
      <c r="M25" s="30"/>
    </row>
    <row r="26">
      <c r="M26" s="30"/>
    </row>
    <row r="27">
      <c r="M27" s="30"/>
    </row>
    <row r="28">
      <c r="M28" s="30"/>
    </row>
    <row r="29">
      <c r="M29" s="3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52" t="s">
        <v>161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</row>
    <row r="2">
      <c r="A2" s="75" t="s">
        <v>130</v>
      </c>
      <c r="B2" s="57"/>
      <c r="C2" s="57"/>
      <c r="D2" s="57"/>
      <c r="E2" s="57"/>
      <c r="F2" s="57"/>
      <c r="G2" s="57"/>
      <c r="H2" s="57"/>
    </row>
    <row r="4">
      <c r="O4" s="30"/>
    </row>
    <row r="5">
      <c r="A5" s="76" t="s">
        <v>1</v>
      </c>
      <c r="B5" s="63"/>
      <c r="C5" s="77" t="s">
        <v>131</v>
      </c>
      <c r="D5" s="53"/>
      <c r="E5" s="61" t="s">
        <v>132</v>
      </c>
      <c r="F5" s="52"/>
      <c r="G5" s="52"/>
      <c r="H5" s="52"/>
      <c r="I5" s="52"/>
      <c r="J5" s="52"/>
      <c r="K5" s="61" t="s">
        <v>133</v>
      </c>
      <c r="L5" s="62"/>
      <c r="M5" s="62"/>
      <c r="N5" s="61"/>
      <c r="O5" s="63" t="s">
        <v>134</v>
      </c>
      <c r="P5" s="64"/>
      <c r="Q5" s="61" t="s">
        <v>135</v>
      </c>
      <c r="R5" s="61" t="s">
        <v>136</v>
      </c>
      <c r="S5" s="53"/>
      <c r="T5" s="53"/>
      <c r="U5" s="53"/>
    </row>
    <row r="6">
      <c r="A6" s="53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</row>
    <row r="7">
      <c r="A7" s="78"/>
      <c r="B7" s="78"/>
      <c r="C7" s="78"/>
      <c r="E7" s="79"/>
      <c r="F7" s="80"/>
      <c r="G7" s="80"/>
      <c r="H7" s="80"/>
      <c r="I7" s="80"/>
      <c r="J7" s="80"/>
      <c r="K7" s="81"/>
      <c r="N7" s="69" t="s">
        <v>162</v>
      </c>
      <c r="O7" s="82"/>
    </row>
    <row r="8">
      <c r="A8" s="83" t="s">
        <v>163</v>
      </c>
      <c r="B8" s="84"/>
      <c r="C8" s="84" t="s">
        <v>164</v>
      </c>
      <c r="D8" s="72"/>
      <c r="E8" s="85" t="s">
        <v>165</v>
      </c>
      <c r="F8" s="72"/>
      <c r="G8" s="72"/>
      <c r="H8" s="72"/>
      <c r="I8" s="72"/>
      <c r="J8" s="72"/>
      <c r="K8" s="86" t="s">
        <v>166</v>
      </c>
      <c r="L8" s="72"/>
      <c r="M8" s="72"/>
      <c r="N8" s="72"/>
      <c r="O8" s="70" t="s">
        <v>18</v>
      </c>
      <c r="P8" s="72"/>
      <c r="Q8" s="71" t="s">
        <v>141</v>
      </c>
      <c r="R8" s="72"/>
      <c r="S8" s="72"/>
      <c r="T8" s="72"/>
      <c r="U8" s="72"/>
      <c r="V8" s="87"/>
      <c r="W8" s="87"/>
      <c r="X8" s="87"/>
      <c r="Y8" s="87"/>
      <c r="Z8" s="87"/>
      <c r="AA8" s="87"/>
      <c r="AB8" s="87"/>
    </row>
    <row r="9">
      <c r="G9" s="80"/>
      <c r="H9" s="80"/>
      <c r="I9" s="80"/>
      <c r="J9" s="80"/>
      <c r="N9" s="69"/>
      <c r="O9" s="30"/>
    </row>
    <row r="10">
      <c r="A10" s="83" t="s">
        <v>167</v>
      </c>
      <c r="B10" s="88"/>
      <c r="C10" s="88" t="s">
        <v>168</v>
      </c>
      <c r="D10" s="72"/>
      <c r="E10" s="85" t="s">
        <v>165</v>
      </c>
      <c r="F10" s="89"/>
      <c r="G10" s="72"/>
      <c r="H10" s="72"/>
      <c r="I10" s="72"/>
      <c r="J10" s="72"/>
      <c r="K10" s="71" t="s">
        <v>169</v>
      </c>
      <c r="L10" s="72"/>
      <c r="M10" s="72"/>
      <c r="N10" s="72"/>
      <c r="O10" s="70" t="s">
        <v>18</v>
      </c>
      <c r="P10" s="72"/>
      <c r="Q10" s="71" t="s">
        <v>141</v>
      </c>
      <c r="R10" s="72"/>
      <c r="S10" s="72"/>
      <c r="T10" s="72"/>
      <c r="U10" s="72"/>
    </row>
    <row r="11">
      <c r="G11" s="90"/>
      <c r="H11" s="90"/>
      <c r="I11" s="90"/>
      <c r="J11" s="90"/>
      <c r="N11" s="69"/>
      <c r="O11" s="30"/>
    </row>
    <row r="12">
      <c r="A12" s="91" t="s">
        <v>170</v>
      </c>
      <c r="B12" s="92"/>
      <c r="C12" s="92" t="s">
        <v>171</v>
      </c>
      <c r="D12" s="72"/>
      <c r="E12" s="92" t="s">
        <v>172</v>
      </c>
      <c r="F12" s="93"/>
      <c r="G12" s="72"/>
      <c r="H12" s="72"/>
      <c r="I12" s="72"/>
      <c r="J12" s="72"/>
      <c r="K12" s="92" t="s">
        <v>173</v>
      </c>
      <c r="L12" s="72"/>
      <c r="M12" s="72"/>
      <c r="N12" s="72"/>
      <c r="O12" s="70" t="s">
        <v>18</v>
      </c>
      <c r="P12" s="72"/>
      <c r="Q12" s="71" t="s">
        <v>141</v>
      </c>
      <c r="R12" s="72"/>
      <c r="S12" s="72"/>
      <c r="T12" s="72"/>
      <c r="U12" s="72"/>
    </row>
    <row r="13">
      <c r="G13" s="94"/>
      <c r="H13" s="94"/>
      <c r="I13" s="94"/>
      <c r="J13" s="94"/>
      <c r="N13" s="69"/>
      <c r="O13" s="30"/>
    </row>
    <row r="14">
      <c r="A14" s="83" t="s">
        <v>174</v>
      </c>
      <c r="B14" s="84"/>
      <c r="C14" s="84" t="s">
        <v>175</v>
      </c>
      <c r="D14" s="72"/>
      <c r="E14" s="95" t="s">
        <v>176</v>
      </c>
      <c r="F14" s="96"/>
      <c r="G14" s="72"/>
      <c r="H14" s="72"/>
      <c r="I14" s="72"/>
      <c r="J14" s="72"/>
      <c r="K14" s="71" t="s">
        <v>177</v>
      </c>
      <c r="L14" s="72"/>
      <c r="M14" s="72"/>
      <c r="N14" s="72"/>
      <c r="O14" s="70" t="s">
        <v>18</v>
      </c>
      <c r="P14" s="72"/>
      <c r="Q14" s="71" t="s">
        <v>141</v>
      </c>
      <c r="R14" s="72"/>
      <c r="S14" s="72"/>
      <c r="T14" s="72"/>
      <c r="U14" s="72"/>
    </row>
    <row r="15">
      <c r="L15" s="68"/>
      <c r="M15" s="68"/>
      <c r="N15" s="68"/>
      <c r="O15" s="30"/>
    </row>
    <row r="16">
      <c r="A16" s="70" t="s">
        <v>178</v>
      </c>
      <c r="B16" s="71"/>
      <c r="C16" s="71" t="s">
        <v>179</v>
      </c>
      <c r="D16" s="72"/>
      <c r="E16" s="71" t="s">
        <v>180</v>
      </c>
      <c r="F16" s="72"/>
      <c r="G16" s="72"/>
      <c r="H16" s="72"/>
      <c r="I16" s="72"/>
      <c r="J16" s="72"/>
      <c r="K16" s="71" t="s">
        <v>181</v>
      </c>
      <c r="L16" s="72"/>
      <c r="M16" s="72"/>
      <c r="N16" s="72"/>
      <c r="O16" s="70" t="s">
        <v>18</v>
      </c>
      <c r="P16" s="72"/>
      <c r="Q16" s="71" t="s">
        <v>141</v>
      </c>
      <c r="R16" s="72"/>
      <c r="S16" s="72"/>
      <c r="T16" s="72"/>
      <c r="U16" s="72"/>
    </row>
    <row r="17">
      <c r="N17" s="69"/>
      <c r="O17" s="30"/>
    </row>
    <row r="18">
      <c r="A18" s="68"/>
      <c r="B18" s="68"/>
      <c r="C18" s="68"/>
      <c r="K18" s="6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 ht="22.5" customHeight="1">
      <c r="A1" s="9" t="s">
        <v>182</v>
      </c>
      <c r="B1" s="9" t="s">
        <v>183</v>
      </c>
      <c r="C1" s="9" t="s">
        <v>184</v>
      </c>
      <c r="D1" s="9" t="s">
        <v>185</v>
      </c>
      <c r="E1" s="97" t="s">
        <v>186</v>
      </c>
      <c r="F1" s="12" t="s">
        <v>187</v>
      </c>
      <c r="G1" s="12" t="s">
        <v>188</v>
      </c>
      <c r="H1" s="97" t="s">
        <v>189</v>
      </c>
    </row>
    <row r="2" ht="22.5" customHeight="1">
      <c r="A2" s="14" t="s">
        <v>12</v>
      </c>
      <c r="B2" s="98" t="s">
        <v>190</v>
      </c>
      <c r="C2" s="14" t="s">
        <v>191</v>
      </c>
      <c r="D2" s="21" t="s">
        <v>192</v>
      </c>
      <c r="E2" s="15" t="s">
        <v>191</v>
      </c>
      <c r="F2" s="15" t="s">
        <v>191</v>
      </c>
      <c r="G2" s="17" t="s">
        <v>191</v>
      </c>
      <c r="H2" s="17" t="s">
        <v>191</v>
      </c>
    </row>
    <row r="3" ht="22.5" customHeight="1">
      <c r="A3" s="14" t="s">
        <v>21</v>
      </c>
      <c r="B3" s="99" t="s">
        <v>193</v>
      </c>
      <c r="C3" s="100" t="s">
        <v>191</v>
      </c>
      <c r="D3" s="21" t="s">
        <v>191</v>
      </c>
      <c r="E3" s="15" t="s">
        <v>192</v>
      </c>
      <c r="F3" s="15" t="s">
        <v>191</v>
      </c>
      <c r="G3" s="21" t="s">
        <v>191</v>
      </c>
      <c r="H3" s="21" t="s">
        <v>191</v>
      </c>
    </row>
    <row r="4" ht="22.5" customHeight="1">
      <c r="A4" s="14" t="s">
        <v>27</v>
      </c>
      <c r="B4" s="99" t="s">
        <v>194</v>
      </c>
      <c r="C4" s="100" t="s">
        <v>191</v>
      </c>
      <c r="D4" s="21" t="s">
        <v>191</v>
      </c>
      <c r="E4" s="23" t="s">
        <v>191</v>
      </c>
      <c r="F4" s="23" t="s">
        <v>192</v>
      </c>
      <c r="G4" s="21" t="s">
        <v>191</v>
      </c>
      <c r="H4" s="21" t="s">
        <v>191</v>
      </c>
    </row>
    <row r="5" ht="22.5" customHeight="1">
      <c r="A5" s="14" t="s">
        <v>34</v>
      </c>
      <c r="B5" s="101" t="s">
        <v>195</v>
      </c>
      <c r="C5" s="102" t="s">
        <v>191</v>
      </c>
      <c r="D5" s="21" t="s">
        <v>191</v>
      </c>
      <c r="E5" s="15" t="s">
        <v>191</v>
      </c>
      <c r="F5" s="15" t="s">
        <v>191</v>
      </c>
      <c r="G5" s="21" t="s">
        <v>192</v>
      </c>
      <c r="H5" s="21" t="s">
        <v>191</v>
      </c>
    </row>
    <row r="6" ht="22.5" customHeight="1">
      <c r="A6" s="14" t="s">
        <v>40</v>
      </c>
      <c r="B6" s="98" t="s">
        <v>196</v>
      </c>
      <c r="C6" s="14" t="s">
        <v>191</v>
      </c>
      <c r="D6" s="21" t="s">
        <v>191</v>
      </c>
      <c r="E6" s="103" t="s">
        <v>191</v>
      </c>
      <c r="F6" s="103" t="s">
        <v>191</v>
      </c>
      <c r="G6" s="21" t="s">
        <v>191</v>
      </c>
      <c r="H6" s="21" t="s">
        <v>192</v>
      </c>
    </row>
    <row r="7" ht="22.5" customHeight="1">
      <c r="A7" s="14"/>
      <c r="B7" s="98"/>
      <c r="C7" s="98"/>
      <c r="D7" s="21"/>
      <c r="E7" s="103"/>
      <c r="F7" s="17"/>
      <c r="G7" s="21"/>
      <c r="H7" s="21"/>
    </row>
    <row r="8" ht="22.5" customHeight="1">
      <c r="A8" s="104"/>
      <c r="B8" s="105" t="s">
        <v>197</v>
      </c>
      <c r="C8" s="106" t="s">
        <v>198</v>
      </c>
      <c r="D8" s="107" t="s">
        <v>199</v>
      </c>
      <c r="E8" s="108" t="s">
        <v>200</v>
      </c>
      <c r="F8" s="108" t="s">
        <v>201</v>
      </c>
      <c r="G8" s="107" t="s">
        <v>202</v>
      </c>
      <c r="H8" s="107" t="s">
        <v>203</v>
      </c>
    </row>
    <row r="9">
      <c r="C9" s="109"/>
      <c r="G9" s="30"/>
    </row>
    <row r="10">
      <c r="G10" s="30"/>
    </row>
    <row r="11">
      <c r="G11" s="30"/>
    </row>
    <row r="12">
      <c r="G12" s="30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 ht="22.5" customHeight="1">
      <c r="A1" s="9" t="s">
        <v>1</v>
      </c>
      <c r="B1" s="9" t="s">
        <v>3</v>
      </c>
      <c r="C1" s="10" t="s">
        <v>2</v>
      </c>
      <c r="D1" s="110" t="s">
        <v>204</v>
      </c>
      <c r="E1" s="97" t="s">
        <v>205</v>
      </c>
      <c r="F1" s="12" t="s">
        <v>6</v>
      </c>
      <c r="G1" s="12" t="s">
        <v>7</v>
      </c>
      <c r="H1" s="10" t="s">
        <v>9</v>
      </c>
    </row>
    <row r="2" ht="22.5" customHeight="1">
      <c r="A2" s="14" t="s">
        <v>12</v>
      </c>
      <c r="B2" s="98"/>
      <c r="C2" s="15" t="s">
        <v>206</v>
      </c>
      <c r="D2" s="21">
        <v>17.0</v>
      </c>
      <c r="E2" s="15" t="s">
        <v>207</v>
      </c>
      <c r="F2" s="15" t="s">
        <v>208</v>
      </c>
      <c r="G2" s="17" t="s">
        <v>18</v>
      </c>
      <c r="H2" s="18" t="s">
        <v>20</v>
      </c>
    </row>
    <row r="3" ht="22.5" customHeight="1">
      <c r="A3" s="14" t="s">
        <v>21</v>
      </c>
      <c r="B3" s="99" t="s">
        <v>209</v>
      </c>
      <c r="C3" s="15" t="s">
        <v>210</v>
      </c>
      <c r="D3" s="21">
        <v>30.0</v>
      </c>
      <c r="E3" s="15" t="s">
        <v>211</v>
      </c>
      <c r="F3" s="15" t="s">
        <v>212</v>
      </c>
      <c r="G3" s="21" t="s">
        <v>18</v>
      </c>
      <c r="H3" s="18" t="s">
        <v>20</v>
      </c>
    </row>
    <row r="4" ht="22.5" customHeight="1">
      <c r="A4" s="14" t="s">
        <v>27</v>
      </c>
      <c r="B4" s="99"/>
      <c r="C4" s="15" t="s">
        <v>213</v>
      </c>
      <c r="D4" s="21">
        <v>61.0</v>
      </c>
      <c r="E4" s="23" t="s">
        <v>207</v>
      </c>
      <c r="F4" s="23" t="s">
        <v>208</v>
      </c>
      <c r="G4" s="21" t="s">
        <v>18</v>
      </c>
      <c r="H4" s="18" t="s">
        <v>20</v>
      </c>
    </row>
    <row r="5">
      <c r="C5" s="109"/>
      <c r="G5" s="30"/>
    </row>
    <row r="6">
      <c r="G6" s="30"/>
    </row>
    <row r="7">
      <c r="G7" s="30"/>
    </row>
    <row r="8">
      <c r="G8" s="30"/>
    </row>
  </sheetData>
  <dataValidations>
    <dataValidation type="list" allowBlank="1" sqref="H2:H4">
      <formula1>"Aprovada,Reprovada,Em execução,Bloqueado"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111" t="s">
        <v>214</v>
      </c>
      <c r="B1" s="112"/>
      <c r="C1" s="112"/>
      <c r="D1" s="113"/>
      <c r="E1" s="114"/>
      <c r="F1" s="5"/>
      <c r="G1" s="6"/>
      <c r="H1" s="4"/>
    </row>
    <row r="2">
      <c r="A2" s="8"/>
      <c r="B2" s="8"/>
      <c r="C2" s="4"/>
      <c r="D2" s="113"/>
      <c r="E2" s="114"/>
      <c r="F2" s="5"/>
      <c r="G2" s="6"/>
      <c r="H2" s="4"/>
    </row>
    <row r="3">
      <c r="A3" s="8"/>
      <c r="B3" s="8"/>
      <c r="C3" s="4"/>
      <c r="D3" s="113"/>
      <c r="E3" s="114"/>
      <c r="F3" s="5"/>
      <c r="G3" s="6"/>
      <c r="H3" s="4"/>
    </row>
    <row r="4" ht="22.5" customHeight="1">
      <c r="A4" s="9" t="s">
        <v>1</v>
      </c>
      <c r="B4" s="9" t="s">
        <v>215</v>
      </c>
      <c r="C4" s="9" t="s">
        <v>216</v>
      </c>
      <c r="D4" s="110" t="s">
        <v>217</v>
      </c>
      <c r="E4" s="97" t="s">
        <v>218</v>
      </c>
      <c r="F4" s="97" t="s">
        <v>219</v>
      </c>
      <c r="G4" s="12" t="s">
        <v>6</v>
      </c>
      <c r="H4" s="12" t="s">
        <v>7</v>
      </c>
      <c r="I4" s="10" t="s">
        <v>9</v>
      </c>
    </row>
    <row r="5" ht="22.5" customHeight="1">
      <c r="A5" s="14" t="s">
        <v>220</v>
      </c>
      <c r="B5" s="115" t="s">
        <v>221</v>
      </c>
      <c r="C5" s="14" t="s">
        <v>26</v>
      </c>
      <c r="D5" s="21" t="s">
        <v>19</v>
      </c>
      <c r="E5" s="15" t="s">
        <v>222</v>
      </c>
      <c r="F5" s="15" t="s">
        <v>223</v>
      </c>
      <c r="G5" s="15" t="s">
        <v>224</v>
      </c>
      <c r="H5" s="17" t="s">
        <v>225</v>
      </c>
      <c r="I5" s="18" t="s">
        <v>33</v>
      </c>
    </row>
    <row r="6" ht="22.5" customHeight="1">
      <c r="A6" s="14"/>
      <c r="B6" s="99"/>
      <c r="C6" s="15"/>
      <c r="D6" s="21"/>
      <c r="E6" s="15"/>
      <c r="F6" s="15"/>
      <c r="G6" s="15"/>
      <c r="H6" s="21"/>
      <c r="I6" s="116"/>
    </row>
    <row r="7" ht="22.5" customHeight="1">
      <c r="A7" s="14" t="s">
        <v>226</v>
      </c>
      <c r="B7" s="99" t="s">
        <v>227</v>
      </c>
      <c r="C7" s="17" t="s">
        <v>19</v>
      </c>
      <c r="D7" s="21" t="s">
        <v>19</v>
      </c>
      <c r="E7" s="15" t="s">
        <v>228</v>
      </c>
      <c r="F7" s="15" t="s">
        <v>229</v>
      </c>
      <c r="G7" s="15" t="s">
        <v>230</v>
      </c>
      <c r="H7" s="17" t="s">
        <v>231</v>
      </c>
      <c r="I7" s="18" t="s">
        <v>33</v>
      </c>
    </row>
    <row r="8" ht="22.5" customHeight="1">
      <c r="A8" s="14"/>
      <c r="B8" s="99"/>
      <c r="C8" s="15"/>
      <c r="D8" s="21"/>
      <c r="E8" s="23"/>
      <c r="F8" s="23"/>
      <c r="G8" s="23"/>
      <c r="H8" s="21"/>
      <c r="I8" s="116"/>
    </row>
    <row r="9" ht="22.5" customHeight="1">
      <c r="A9" s="14" t="s">
        <v>232</v>
      </c>
      <c r="B9" s="99" t="s">
        <v>233</v>
      </c>
      <c r="C9" s="17" t="s">
        <v>19</v>
      </c>
      <c r="D9" s="21" t="s">
        <v>26</v>
      </c>
      <c r="E9" s="23" t="s">
        <v>234</v>
      </c>
      <c r="F9" s="23" t="s">
        <v>235</v>
      </c>
      <c r="G9" s="23" t="s">
        <v>236</v>
      </c>
      <c r="H9" s="17" t="s">
        <v>237</v>
      </c>
      <c r="I9" s="18" t="s">
        <v>33</v>
      </c>
    </row>
    <row r="10" ht="22.5" customHeight="1">
      <c r="A10" s="14"/>
      <c r="B10" s="99"/>
      <c r="C10" s="15"/>
      <c r="D10" s="21"/>
      <c r="E10" s="23"/>
      <c r="F10" s="23"/>
      <c r="G10" s="23"/>
      <c r="H10" s="21"/>
      <c r="I10" s="116"/>
    </row>
    <row r="11">
      <c r="C11" s="109"/>
      <c r="G11" s="30"/>
    </row>
    <row r="12">
      <c r="G12" s="30"/>
    </row>
    <row r="13">
      <c r="G13" s="30"/>
    </row>
    <row r="14">
      <c r="G14" s="30"/>
    </row>
  </sheetData>
  <dataValidations>
    <dataValidation type="list" allowBlank="1" sqref="I5:I10">
      <formula1>"Aprovada,Reprovada,Em execução,Bloqueado"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 ht="22.5" customHeight="1">
      <c r="A1" s="9" t="s">
        <v>1</v>
      </c>
      <c r="B1" s="9" t="s">
        <v>3</v>
      </c>
      <c r="C1" s="10" t="s">
        <v>2</v>
      </c>
      <c r="D1" s="110" t="s">
        <v>204</v>
      </c>
      <c r="E1" s="97" t="s">
        <v>205</v>
      </c>
      <c r="F1" s="12" t="s">
        <v>6</v>
      </c>
      <c r="G1" s="12" t="s">
        <v>7</v>
      </c>
      <c r="H1" s="10" t="s">
        <v>9</v>
      </c>
    </row>
    <row r="2" ht="22.5" customHeight="1">
      <c r="A2" s="14" t="s">
        <v>12</v>
      </c>
      <c r="B2" s="98"/>
      <c r="C2" s="15" t="s">
        <v>206</v>
      </c>
      <c r="D2" s="21">
        <v>17.0</v>
      </c>
      <c r="E2" s="15" t="s">
        <v>207</v>
      </c>
      <c r="F2" s="15" t="s">
        <v>208</v>
      </c>
      <c r="G2" s="17" t="s">
        <v>18</v>
      </c>
      <c r="H2" s="18" t="s">
        <v>20</v>
      </c>
    </row>
    <row r="3" ht="22.5" customHeight="1">
      <c r="A3" s="14" t="s">
        <v>21</v>
      </c>
      <c r="B3" s="98"/>
      <c r="C3" s="15" t="s">
        <v>238</v>
      </c>
      <c r="D3" s="21">
        <v>18.0</v>
      </c>
      <c r="E3" s="15" t="s">
        <v>211</v>
      </c>
      <c r="F3" s="15" t="s">
        <v>212</v>
      </c>
      <c r="G3" s="21" t="s">
        <v>18</v>
      </c>
      <c r="H3" s="18" t="s">
        <v>20</v>
      </c>
    </row>
    <row r="4" ht="22.5" customHeight="1">
      <c r="A4" s="14" t="s">
        <v>27</v>
      </c>
      <c r="B4" s="99" t="s">
        <v>209</v>
      </c>
      <c r="C4" s="15" t="s">
        <v>239</v>
      </c>
      <c r="D4" s="21">
        <v>19.0</v>
      </c>
      <c r="E4" s="23" t="s">
        <v>240</v>
      </c>
      <c r="F4" s="23" t="s">
        <v>212</v>
      </c>
      <c r="G4" s="21" t="s">
        <v>18</v>
      </c>
      <c r="H4" s="18" t="s">
        <v>20</v>
      </c>
    </row>
    <row r="5" ht="22.5" customHeight="1">
      <c r="A5" s="14" t="s">
        <v>34</v>
      </c>
      <c r="B5" s="101"/>
      <c r="C5" s="15" t="s">
        <v>241</v>
      </c>
      <c r="D5" s="21">
        <v>59.0</v>
      </c>
      <c r="E5" s="15" t="s">
        <v>211</v>
      </c>
      <c r="F5" s="15" t="s">
        <v>212</v>
      </c>
      <c r="G5" s="21" t="s">
        <v>18</v>
      </c>
      <c r="H5" s="18" t="s">
        <v>20</v>
      </c>
    </row>
    <row r="6" ht="22.5" customHeight="1">
      <c r="A6" s="14" t="s">
        <v>40</v>
      </c>
      <c r="B6" s="98"/>
      <c r="C6" s="15" t="s">
        <v>242</v>
      </c>
      <c r="D6" s="21">
        <v>60.0</v>
      </c>
      <c r="E6" s="103" t="s">
        <v>211</v>
      </c>
      <c r="F6" s="103" t="s">
        <v>212</v>
      </c>
      <c r="G6" s="21" t="s">
        <v>18</v>
      </c>
      <c r="H6" s="18" t="s">
        <v>20</v>
      </c>
    </row>
    <row r="7" ht="22.5" customHeight="1">
      <c r="A7" s="14" t="s">
        <v>45</v>
      </c>
      <c r="B7" s="98"/>
      <c r="C7" s="15" t="s">
        <v>243</v>
      </c>
      <c r="D7" s="21">
        <v>61.0</v>
      </c>
      <c r="E7" s="103" t="s">
        <v>207</v>
      </c>
      <c r="F7" s="17" t="s">
        <v>208</v>
      </c>
      <c r="G7" s="21" t="s">
        <v>18</v>
      </c>
      <c r="H7" s="18" t="s">
        <v>20</v>
      </c>
    </row>
    <row r="8">
      <c r="C8" s="109"/>
      <c r="G8" s="30"/>
    </row>
    <row r="9">
      <c r="G9" s="30"/>
    </row>
    <row r="10">
      <c r="G10" s="30"/>
    </row>
    <row r="11">
      <c r="G11" s="30"/>
    </row>
  </sheetData>
  <dataValidations>
    <dataValidation type="list" allowBlank="1" sqref="H2:H7">
      <formula1>"Aprovada,Reprovada,Em execução,Bloqueado"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0.13"/>
    <col customWidth="1" min="5" max="7" width="15.13"/>
    <col customWidth="1" min="8" max="11" width="20.13"/>
    <col customWidth="1" min="12" max="12" width="22.63"/>
    <col customWidth="1" min="13" max="13" width="15.13"/>
  </cols>
  <sheetData>
    <row r="1" ht="22.5" customHeight="1">
      <c r="A1" s="41" t="s">
        <v>244</v>
      </c>
      <c r="B1" s="41" t="s">
        <v>245</v>
      </c>
      <c r="C1" s="41" t="s">
        <v>2</v>
      </c>
      <c r="D1" s="41" t="s">
        <v>8</v>
      </c>
      <c r="E1" s="41" t="s">
        <v>246</v>
      </c>
      <c r="F1" s="41" t="s">
        <v>9</v>
      </c>
      <c r="G1" s="41" t="s">
        <v>247</v>
      </c>
      <c r="H1" s="41" t="s">
        <v>248</v>
      </c>
      <c r="I1" s="41" t="s">
        <v>249</v>
      </c>
      <c r="J1" s="41" t="s">
        <v>4</v>
      </c>
      <c r="K1" s="41" t="s">
        <v>10</v>
      </c>
      <c r="L1" s="41" t="s">
        <v>11</v>
      </c>
      <c r="M1" s="37" t="s">
        <v>250</v>
      </c>
      <c r="N1" s="37" t="s">
        <v>251</v>
      </c>
    </row>
    <row r="2" ht="22.5" customHeight="1">
      <c r="A2" s="117"/>
      <c r="B2" s="37"/>
      <c r="C2" s="41"/>
      <c r="D2" s="118"/>
      <c r="E2" s="37" t="s">
        <v>252</v>
      </c>
      <c r="F2" s="119"/>
      <c r="G2" s="120"/>
      <c r="H2" s="120"/>
      <c r="I2" s="41"/>
      <c r="J2" s="121" t="s">
        <v>253</v>
      </c>
      <c r="K2" s="40"/>
      <c r="L2" s="41"/>
      <c r="M2" s="37"/>
      <c r="N2" s="37"/>
    </row>
    <row r="3" ht="22.5" customHeight="1">
      <c r="A3" s="117"/>
      <c r="B3" s="41"/>
      <c r="C3" s="41"/>
      <c r="D3" s="118"/>
      <c r="E3" s="122" t="s">
        <v>252</v>
      </c>
      <c r="F3" s="119"/>
      <c r="G3" s="120"/>
      <c r="H3" s="120"/>
      <c r="I3" s="41"/>
      <c r="J3" s="121" t="s">
        <v>254</v>
      </c>
      <c r="K3" s="40"/>
      <c r="L3" s="41"/>
      <c r="M3" s="37"/>
      <c r="N3" s="37"/>
    </row>
    <row r="4" ht="22.5" customHeight="1">
      <c r="A4" s="117"/>
      <c r="B4" s="41"/>
      <c r="C4" s="41"/>
      <c r="D4" s="118"/>
      <c r="E4" s="40"/>
      <c r="F4" s="119"/>
      <c r="G4" s="120"/>
      <c r="H4" s="120"/>
      <c r="I4" s="41"/>
      <c r="J4" s="121"/>
      <c r="K4" s="40"/>
      <c r="L4" s="41"/>
      <c r="M4" s="37"/>
      <c r="N4" s="37"/>
    </row>
    <row r="5" ht="22.5" customHeight="1">
      <c r="A5" s="117"/>
      <c r="B5" s="41"/>
      <c r="C5" s="41"/>
      <c r="D5" s="118"/>
      <c r="E5" s="40"/>
      <c r="F5" s="119"/>
      <c r="G5" s="120"/>
      <c r="H5" s="120"/>
      <c r="I5" s="41"/>
      <c r="J5" s="123">
        <v>0.0</v>
      </c>
      <c r="K5" s="40"/>
      <c r="L5" s="41"/>
      <c r="M5" s="37"/>
      <c r="N5" s="37"/>
    </row>
    <row r="6" ht="22.5" customHeight="1">
      <c r="A6" s="19"/>
      <c r="B6" s="20"/>
      <c r="C6" s="20"/>
      <c r="D6" s="18" t="s">
        <v>26</v>
      </c>
      <c r="E6" s="19"/>
      <c r="F6" s="18" t="s">
        <v>33</v>
      </c>
      <c r="G6" s="124"/>
      <c r="H6" s="124"/>
      <c r="I6" s="20"/>
      <c r="J6" s="20">
        <v>0.0</v>
      </c>
      <c r="K6" s="19"/>
      <c r="L6" s="20"/>
      <c r="M6" s="20"/>
      <c r="N6" s="20"/>
    </row>
    <row r="7" ht="22.5" customHeight="1">
      <c r="A7" s="19"/>
      <c r="B7" s="20"/>
      <c r="C7" s="20"/>
      <c r="D7" s="18" t="s">
        <v>19</v>
      </c>
      <c r="E7" s="125" t="s">
        <v>252</v>
      </c>
      <c r="F7" s="18" t="s">
        <v>33</v>
      </c>
      <c r="G7" s="124"/>
      <c r="H7" s="124"/>
      <c r="I7" s="20"/>
      <c r="J7" s="20">
        <v>0.0</v>
      </c>
      <c r="K7" s="19"/>
      <c r="L7" s="20"/>
      <c r="M7" s="20"/>
      <c r="N7" s="20"/>
    </row>
    <row r="8" ht="22.5" customHeight="1">
      <c r="A8" s="19"/>
      <c r="B8" s="20"/>
      <c r="C8" s="20"/>
      <c r="D8" s="18" t="s">
        <v>19</v>
      </c>
      <c r="E8" s="125" t="s">
        <v>252</v>
      </c>
      <c r="F8" s="126" t="s">
        <v>255</v>
      </c>
      <c r="G8" s="124"/>
      <c r="H8" s="124"/>
      <c r="I8" s="20"/>
      <c r="J8" s="20">
        <v>0.0</v>
      </c>
      <c r="K8" s="19"/>
      <c r="L8" s="20"/>
      <c r="M8" s="20"/>
      <c r="N8" s="20"/>
    </row>
    <row r="9" ht="22.5" customHeight="1">
      <c r="A9" s="19"/>
      <c r="B9" s="20"/>
      <c r="C9" s="20"/>
      <c r="D9" s="18" t="s">
        <v>19</v>
      </c>
      <c r="E9" s="125" t="s">
        <v>252</v>
      </c>
      <c r="F9" s="126" t="s">
        <v>256</v>
      </c>
      <c r="G9" s="124"/>
      <c r="H9" s="124"/>
      <c r="I9" s="20"/>
      <c r="J9" s="20">
        <v>0.0</v>
      </c>
      <c r="K9" s="19"/>
      <c r="L9" s="20"/>
      <c r="M9" s="20"/>
      <c r="N9" s="20"/>
    </row>
    <row r="10" ht="22.5" customHeight="1">
      <c r="A10" s="19"/>
      <c r="B10" s="20"/>
      <c r="C10" s="20"/>
      <c r="D10" s="29"/>
      <c r="E10" s="19"/>
      <c r="F10" s="29"/>
      <c r="G10" s="124"/>
      <c r="H10" s="124"/>
      <c r="I10" s="20"/>
      <c r="J10" s="20">
        <v>0.0</v>
      </c>
      <c r="K10" s="19"/>
      <c r="L10" s="20"/>
      <c r="M10" s="20"/>
      <c r="N10" s="20"/>
    </row>
    <row r="11" ht="22.5" customHeight="1">
      <c r="A11" s="19"/>
      <c r="B11" s="20"/>
      <c r="C11" s="20"/>
      <c r="D11" s="29"/>
      <c r="E11" s="19"/>
      <c r="F11" s="29"/>
      <c r="G11" s="124"/>
      <c r="H11" s="124"/>
      <c r="I11" s="20"/>
      <c r="J11" s="20">
        <v>0.0</v>
      </c>
      <c r="K11" s="19"/>
      <c r="L11" s="20"/>
      <c r="M11" s="20"/>
      <c r="N11" s="20"/>
    </row>
    <row r="12" ht="22.5" customHeight="1">
      <c r="A12" s="19"/>
      <c r="B12" s="20"/>
      <c r="C12" s="20"/>
      <c r="D12" s="29"/>
      <c r="E12" s="19"/>
      <c r="F12" s="29"/>
      <c r="G12" s="124"/>
      <c r="H12" s="124"/>
      <c r="I12" s="20"/>
      <c r="J12" s="20">
        <v>0.0</v>
      </c>
      <c r="K12" s="19"/>
      <c r="L12" s="20"/>
      <c r="M12" s="20"/>
      <c r="N12" s="20"/>
    </row>
    <row r="13" ht="22.5" customHeight="1">
      <c r="A13" s="19"/>
      <c r="B13" s="20"/>
      <c r="C13" s="20"/>
      <c r="D13" s="29"/>
      <c r="E13" s="19"/>
      <c r="F13" s="29"/>
      <c r="G13" s="124"/>
      <c r="H13" s="124"/>
      <c r="I13" s="20"/>
      <c r="J13" s="20">
        <v>0.0</v>
      </c>
      <c r="K13" s="19"/>
      <c r="L13" s="20"/>
      <c r="M13" s="20"/>
      <c r="N13" s="20"/>
    </row>
    <row r="14" ht="22.5" customHeight="1">
      <c r="A14" s="19"/>
      <c r="B14" s="20"/>
      <c r="C14" s="20"/>
      <c r="D14" s="29"/>
      <c r="E14" s="19"/>
      <c r="F14" s="29"/>
      <c r="G14" s="124"/>
      <c r="H14" s="124"/>
      <c r="I14" s="20"/>
      <c r="J14" s="20">
        <v>0.0</v>
      </c>
      <c r="K14" s="19"/>
      <c r="L14" s="20"/>
      <c r="M14" s="20"/>
      <c r="N14" s="20"/>
    </row>
    <row r="15" ht="22.5" customHeight="1">
      <c r="A15" s="19"/>
      <c r="B15" s="20"/>
      <c r="C15" s="20"/>
      <c r="D15" s="29"/>
      <c r="E15" s="19"/>
      <c r="F15" s="29"/>
      <c r="G15" s="124"/>
      <c r="H15" s="124"/>
      <c r="I15" s="20"/>
      <c r="J15" s="20">
        <v>0.0</v>
      </c>
      <c r="K15" s="19"/>
      <c r="L15" s="20"/>
      <c r="M15" s="20"/>
      <c r="N15" s="20"/>
    </row>
    <row r="16" ht="22.5" customHeight="1">
      <c r="A16" s="19"/>
      <c r="B16" s="20"/>
      <c r="C16" s="20"/>
      <c r="D16" s="29"/>
      <c r="E16" s="19"/>
      <c r="F16" s="29"/>
      <c r="G16" s="124"/>
      <c r="H16" s="124"/>
      <c r="I16" s="20"/>
      <c r="J16" s="20">
        <v>0.0</v>
      </c>
      <c r="K16" s="19"/>
      <c r="L16" s="20"/>
      <c r="M16" s="20"/>
      <c r="N16" s="20"/>
    </row>
    <row r="17" ht="22.5" customHeight="1">
      <c r="A17" s="19"/>
      <c r="B17" s="20"/>
      <c r="C17" s="20"/>
      <c r="D17" s="29"/>
      <c r="E17" s="19"/>
      <c r="F17" s="29"/>
      <c r="G17" s="124"/>
      <c r="H17" s="124"/>
      <c r="I17" s="20"/>
      <c r="J17" s="20">
        <v>0.0</v>
      </c>
      <c r="K17" s="19"/>
      <c r="L17" s="20"/>
      <c r="M17" s="20"/>
      <c r="N17" s="20"/>
    </row>
    <row r="18" ht="22.5" customHeight="1">
      <c r="A18" s="19"/>
      <c r="B18" s="20"/>
      <c r="C18" s="20"/>
      <c r="D18" s="29"/>
      <c r="E18" s="19"/>
      <c r="F18" s="29"/>
      <c r="G18" s="124"/>
      <c r="H18" s="124"/>
      <c r="I18" s="20"/>
      <c r="J18" s="20">
        <v>0.0</v>
      </c>
      <c r="K18" s="19"/>
      <c r="L18" s="20"/>
      <c r="M18" s="20"/>
      <c r="N18" s="20"/>
    </row>
    <row r="19" ht="22.5" customHeight="1">
      <c r="A19" s="19"/>
      <c r="B19" s="20"/>
      <c r="C19" s="20"/>
      <c r="D19" s="29"/>
      <c r="E19" s="19"/>
      <c r="F19" s="29"/>
      <c r="G19" s="124"/>
      <c r="H19" s="124"/>
      <c r="I19" s="20"/>
      <c r="J19" s="20">
        <v>0.0</v>
      </c>
      <c r="K19" s="19"/>
      <c r="L19" s="20"/>
      <c r="M19" s="20"/>
      <c r="N19" s="20"/>
    </row>
  </sheetData>
  <customSheetViews>
    <customSheetView guid="{47216A14-A8C4-4A81-83A1-149BB40B447E}" filter="1" showAutoFilter="1">
      <autoFilter ref="$A$1:$N$19">
        <sortState ref="A1:N19">
          <sortCondition descending="1" ref="A1:A19"/>
        </sortState>
      </autoFilter>
    </customSheetView>
  </customSheetViews>
  <dataValidations>
    <dataValidation type="custom" allowBlank="1" showDropDown="1" sqref="G2:H19">
      <formula1>OR(NOT(ISERROR(DATEVALUE(G2))), AND(ISNUMBER(G2), LEFT(CELL("format", G2))="D"))</formula1>
    </dataValidation>
    <dataValidation type="list" allowBlank="1" sqref="D2:D19">
      <formula1>"Alta,Média,baixa"</formula1>
    </dataValidation>
    <dataValidation type="list" allowBlank="1" sqref="F2:F19">
      <formula1>"Aprovada,Reprovada,Em execução,Bloqueado"</formula1>
    </dataValidation>
  </dataValidations>
  <hyperlinks>
    <hyperlink r:id="rId1" ref="E3"/>
    <hyperlink r:id="rId2" ref="E7"/>
    <hyperlink r:id="rId3" ref="E8"/>
    <hyperlink r:id="rId4" ref="E9"/>
  </hyperlinks>
  <drawing r:id="rId5"/>
  <tableParts count="1">
    <tablePart r:id="rId7"/>
  </tableParts>
</worksheet>
</file>